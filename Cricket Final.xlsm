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D:\Documents\Futures First\"/>
    </mc:Choice>
  </mc:AlternateContent>
  <xr:revisionPtr revIDLastSave="0" documentId="13_ncr:1_{6812886F-EAD1-4C77-97CA-825BE1F7901D}" xr6:coauthVersionLast="34" xr6:coauthVersionMax="34" xr10:uidLastSave="{00000000-0000-0000-0000-000000000000}"/>
  <bookViews>
    <workbookView xWindow="0" yWindow="0" windowWidth="23040" windowHeight="8496" activeTab="1" xr2:uid="{00000000-000D-0000-FFFF-FFFF00000000}"/>
  </bookViews>
  <sheets>
    <sheet name="Data" sheetId="8" r:id="rId1"/>
    <sheet name="Dashboard" sheetId="1" r:id="rId2"/>
    <sheet name="AuditTrail" sheetId="6" r:id="rId3"/>
    <sheet name="Quiz" sheetId="9" r:id="rId4"/>
    <sheet name="TradeBook" sheetId="7" r:id="rId5"/>
    <sheet name="Report" sheetId="10" r:id="rId6"/>
  </sheets>
  <functionGroups builtInGroupCount="19"/>
  <definedNames>
    <definedName name="chennai_super_kings_vs_mumbai_indians_elimination_final?innings_2_filter_full_1" localSheetId="0">Data!$AY$24:$BE$142</definedName>
  </definedNames>
  <calcPr calcId="179021"/>
</workbook>
</file>

<file path=xl/calcChain.xml><?xml version="1.0" encoding="utf-8"?>
<calcChain xmlns="http://schemas.openxmlformats.org/spreadsheetml/2006/main">
  <c r="N4" i="10" l="1"/>
  <c r="N5"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3" i="10"/>
  <c r="L3" i="10"/>
  <c r="M4" i="10"/>
  <c r="M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8" i="10"/>
  <c r="M99" i="10"/>
  <c r="M100" i="10"/>
  <c r="M101" i="10"/>
  <c r="M102" i="10"/>
  <c r="M103" i="10"/>
  <c r="M104" i="10"/>
  <c r="M105" i="10"/>
  <c r="M106" i="10"/>
  <c r="M107" i="10"/>
  <c r="M108" i="10"/>
  <c r="M109" i="10"/>
  <c r="M110" i="10"/>
  <c r="M111" i="10"/>
  <c r="M112" i="10"/>
  <c r="M113" i="10"/>
  <c r="M114" i="10"/>
  <c r="M115" i="10"/>
  <c r="M116" i="10"/>
  <c r="M117" i="10"/>
  <c r="M118" i="10"/>
  <c r="M119" i="10"/>
  <c r="M120" i="10"/>
  <c r="M121" i="10"/>
  <c r="M122" i="10"/>
  <c r="M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W2" i="10"/>
  <c r="W1" i="10"/>
  <c r="I2" i="10"/>
  <c r="W3" i="10" l="1"/>
  <c r="M123" i="10"/>
  <c r="AA2" i="10" s="1"/>
  <c r="L123" i="10"/>
  <c r="AA1" i="10" s="1"/>
  <c r="N123" i="10"/>
  <c r="AA3" i="10" s="1"/>
  <c r="J118" i="10"/>
  <c r="J119" i="10"/>
  <c r="J120" i="10"/>
  <c r="J121" i="10"/>
  <c r="J122" i="10"/>
  <c r="J117" i="10"/>
  <c r="I112" i="10"/>
  <c r="I113" i="10"/>
  <c r="I114" i="10"/>
  <c r="I115" i="10"/>
  <c r="I116" i="10"/>
  <c r="I111" i="10"/>
  <c r="J106" i="10"/>
  <c r="J107" i="10"/>
  <c r="J108" i="10"/>
  <c r="J109" i="10"/>
  <c r="J110" i="10"/>
  <c r="J105" i="10"/>
  <c r="I100" i="10"/>
  <c r="I101" i="10"/>
  <c r="I102" i="10"/>
  <c r="I103" i="10"/>
  <c r="I104" i="10"/>
  <c r="I99" i="10"/>
  <c r="J94" i="10"/>
  <c r="J95" i="10"/>
  <c r="J96" i="10"/>
  <c r="J97" i="10"/>
  <c r="J98" i="10"/>
  <c r="J93" i="10"/>
  <c r="I88" i="10"/>
  <c r="I89" i="10"/>
  <c r="I90" i="10"/>
  <c r="I91" i="10"/>
  <c r="I92" i="10"/>
  <c r="I87" i="10"/>
  <c r="J82" i="10"/>
  <c r="J83" i="10"/>
  <c r="J84" i="10"/>
  <c r="J85" i="10"/>
  <c r="J86" i="10"/>
  <c r="J81" i="10"/>
  <c r="I76" i="10"/>
  <c r="I77" i="10"/>
  <c r="I78" i="10"/>
  <c r="I79" i="10"/>
  <c r="I80" i="10"/>
  <c r="I75" i="10"/>
  <c r="J70" i="10"/>
  <c r="J71" i="10"/>
  <c r="J72" i="10"/>
  <c r="J73" i="10"/>
  <c r="J74" i="10"/>
  <c r="J69" i="10"/>
  <c r="I64" i="10"/>
  <c r="I65" i="10"/>
  <c r="I66" i="10"/>
  <c r="I67" i="10"/>
  <c r="I68" i="10"/>
  <c r="I63" i="10"/>
  <c r="J58" i="10"/>
  <c r="J59" i="10"/>
  <c r="J60" i="10"/>
  <c r="J61" i="10"/>
  <c r="J62" i="10"/>
  <c r="J57" i="10"/>
  <c r="I56" i="10"/>
  <c r="I52" i="10"/>
  <c r="I53" i="10"/>
  <c r="I54" i="10"/>
  <c r="I55" i="10"/>
  <c r="I51" i="10"/>
  <c r="J46" i="10"/>
  <c r="J47" i="10"/>
  <c r="J48" i="10"/>
  <c r="J49" i="10"/>
  <c r="J50" i="10"/>
  <c r="J45" i="10"/>
  <c r="I40" i="10"/>
  <c r="I41" i="10"/>
  <c r="I42" i="10"/>
  <c r="I43" i="10"/>
  <c r="I44" i="10"/>
  <c r="I39" i="10"/>
  <c r="J38" i="10"/>
  <c r="J34" i="10"/>
  <c r="J35" i="10"/>
  <c r="J36" i="10"/>
  <c r="J37" i="10"/>
  <c r="J33" i="10"/>
  <c r="I28" i="10"/>
  <c r="I29" i="10"/>
  <c r="I30" i="10"/>
  <c r="I31" i="10"/>
  <c r="I32" i="10"/>
  <c r="I27" i="10"/>
  <c r="J22" i="10"/>
  <c r="J23" i="10"/>
  <c r="J24" i="10"/>
  <c r="J25" i="10"/>
  <c r="J26" i="10"/>
  <c r="J21" i="10"/>
  <c r="I16" i="10"/>
  <c r="I17" i="10"/>
  <c r="I18" i="10"/>
  <c r="I19" i="10"/>
  <c r="I20" i="10"/>
  <c r="I15" i="10"/>
  <c r="J10" i="10"/>
  <c r="J11" i="10"/>
  <c r="J12" i="10"/>
  <c r="J13" i="10"/>
  <c r="J14" i="10"/>
  <c r="J9" i="10"/>
  <c r="I4" i="10"/>
  <c r="I5" i="10"/>
  <c r="I6" i="10"/>
  <c r="I7" i="10"/>
  <c r="I8" i="10"/>
  <c r="I3" i="10"/>
  <c r="N13" i="1" l="1"/>
  <c r="N14" i="1"/>
  <c r="N15" i="1"/>
  <c r="N16" i="1"/>
  <c r="P9" i="1"/>
  <c r="P10" i="1"/>
  <c r="P11" i="1"/>
  <c r="P12" i="1"/>
  <c r="AH31" i="1"/>
  <c r="AD32" i="1"/>
  <c r="AG32" i="1"/>
  <c r="AE31" i="1"/>
  <c r="AG31" i="1"/>
  <c r="AF31" i="1"/>
  <c r="AC32" i="1"/>
  <c r="AF32" i="1"/>
  <c r="AH32" i="1"/>
  <c r="AC31" i="1"/>
  <c r="AE32" i="1"/>
  <c r="AD31" i="1"/>
  <c r="T10" i="1" l="1"/>
  <c r="Y12" i="1"/>
  <c r="Y11" i="1"/>
  <c r="Y10" i="1"/>
  <c r="Y9" i="1"/>
  <c r="W16" i="1"/>
  <c r="W15" i="1"/>
  <c r="W14" i="1"/>
  <c r="W13" i="1"/>
  <c r="AF8" i="1"/>
  <c r="AF5" i="1" l="1"/>
  <c r="K10" i="1"/>
  <c r="AH24" i="1"/>
  <c r="AG15" i="1"/>
  <c r="AG18" i="1"/>
  <c r="AF28" i="1"/>
  <c r="AG10" i="1"/>
  <c r="AH25" i="1"/>
  <c r="AF13" i="1"/>
  <c r="AG17" i="1"/>
  <c r="AF11" i="1"/>
  <c r="AF20" i="1"/>
  <c r="AH11" i="1"/>
  <c r="AF25" i="1"/>
  <c r="AG11" i="1"/>
  <c r="AF10" i="1"/>
  <c r="AH26" i="1"/>
  <c r="AF23" i="1"/>
  <c r="AF29" i="1"/>
  <c r="AF12" i="1"/>
  <c r="AH27" i="1"/>
  <c r="AH19" i="1"/>
  <c r="AG29" i="1"/>
  <c r="AG26" i="1"/>
  <c r="AF18" i="1"/>
  <c r="AG20" i="1"/>
  <c r="AG21" i="1"/>
  <c r="AF15" i="1"/>
  <c r="AG25" i="1"/>
  <c r="AH12" i="1"/>
  <c r="AG19" i="1"/>
  <c r="AG24" i="1"/>
  <c r="AH29" i="1"/>
  <c r="AF24" i="1"/>
  <c r="AH21" i="1"/>
  <c r="AH30" i="1"/>
  <c r="AH22" i="1"/>
  <c r="AF16" i="1"/>
  <c r="AF26" i="1"/>
  <c r="AF21" i="1"/>
  <c r="AF9" i="1"/>
  <c r="AH23" i="1"/>
  <c r="AG22" i="1"/>
  <c r="AG13" i="1"/>
  <c r="AH13" i="1"/>
  <c r="AG9" i="1"/>
  <c r="AH8" i="1"/>
  <c r="AH20" i="1"/>
  <c r="AH9" i="1"/>
  <c r="AF19" i="1"/>
  <c r="AG23" i="1"/>
  <c r="AH18" i="1"/>
  <c r="AH28" i="1"/>
  <c r="AH15" i="1"/>
  <c r="AF14" i="1"/>
  <c r="AH17" i="1"/>
  <c r="AG8" i="1"/>
  <c r="AG27" i="1"/>
  <c r="AG16" i="1"/>
  <c r="AF30" i="1"/>
  <c r="AF17" i="1"/>
  <c r="AG14" i="1"/>
  <c r="AF27" i="1"/>
  <c r="AH16" i="1"/>
  <c r="AF22" i="1"/>
  <c r="AG12" i="1"/>
  <c r="AG30" i="1"/>
  <c r="AH14" i="1"/>
  <c r="AG28" i="1"/>
  <c r="AH10" i="1"/>
  <c r="AF4" i="1" l="1"/>
  <c r="AD8" i="1"/>
  <c r="AC9" i="1"/>
  <c r="AD23" i="1"/>
  <c r="AE20" i="1"/>
  <c r="AC16" i="1"/>
  <c r="AD10" i="1"/>
  <c r="AC21" i="1"/>
  <c r="AD12" i="1"/>
  <c r="AE18" i="1"/>
  <c r="AD17" i="1"/>
  <c r="AE24" i="1"/>
  <c r="AC11" i="1"/>
  <c r="AE13" i="1"/>
  <c r="AE9" i="1"/>
  <c r="AC29" i="1"/>
  <c r="AC28" i="1"/>
  <c r="AE12" i="1"/>
  <c r="AC24" i="1"/>
  <c r="AD13" i="1"/>
  <c r="AD14" i="1"/>
  <c r="AD9" i="1"/>
  <c r="AE11" i="1"/>
  <c r="AD25" i="1"/>
  <c r="AE8" i="1"/>
  <c r="AD15" i="1"/>
  <c r="AC27" i="1"/>
  <c r="AC10" i="1"/>
  <c r="AE19" i="1"/>
  <c r="AE29" i="1"/>
  <c r="AE16" i="1"/>
  <c r="AC14" i="1"/>
  <c r="AC22" i="1"/>
  <c r="AC25" i="1"/>
  <c r="AC20" i="1"/>
  <c r="AE27" i="1"/>
  <c r="AC12" i="1"/>
  <c r="AE23" i="1"/>
  <c r="AC19" i="1"/>
  <c r="AE14" i="1"/>
  <c r="AD24" i="1"/>
  <c r="AE17" i="1"/>
  <c r="AE25" i="1"/>
  <c r="AD16" i="1"/>
  <c r="AD20" i="1"/>
  <c r="AE21" i="1"/>
  <c r="AE15" i="1"/>
  <c r="AC23" i="1"/>
  <c r="AD18" i="1"/>
  <c r="AD29" i="1"/>
  <c r="AD19" i="1"/>
  <c r="AE30" i="1"/>
  <c r="AD22" i="1"/>
  <c r="AD11" i="1"/>
  <c r="AE28" i="1"/>
  <c r="AD27" i="1"/>
  <c r="AD26" i="1"/>
  <c r="AE10" i="1"/>
  <c r="AE22" i="1"/>
  <c r="AC13" i="1"/>
  <c r="AC18" i="1"/>
  <c r="AC30" i="1"/>
  <c r="AE26" i="1"/>
  <c r="AD21" i="1"/>
  <c r="AC17" i="1"/>
  <c r="AD30" i="1"/>
  <c r="AC8" i="1"/>
  <c r="AC15" i="1"/>
  <c r="AC26" i="1"/>
  <c r="AD28" i="1"/>
  <c r="AF3" i="1" l="1"/>
  <c r="X4" i="1"/>
  <c r="AG5" i="1" s="1"/>
  <c r="O4" i="1"/>
  <c r="AG4" i="1" s="1"/>
  <c r="AA16" i="1"/>
  <c r="AA15" i="1"/>
  <c r="AA14" i="1"/>
  <c r="AA13" i="1"/>
  <c r="AA12" i="1"/>
  <c r="X12" i="1"/>
  <c r="X11" i="1" s="1"/>
  <c r="X10" i="1" s="1"/>
  <c r="X9" i="1" s="1"/>
  <c r="AA11" i="1"/>
  <c r="AA10" i="1"/>
  <c r="AA9" i="1"/>
  <c r="O12" i="1"/>
  <c r="O11" i="1" s="1"/>
  <c r="O10" i="1" s="1"/>
  <c r="O9" i="1" s="1"/>
  <c r="R16" i="1"/>
  <c r="R9" i="1"/>
  <c r="R10" i="1"/>
  <c r="R11" i="1"/>
  <c r="R12" i="1"/>
  <c r="R14" i="1"/>
  <c r="R15" i="1"/>
  <c r="R13" i="1"/>
  <c r="X13" i="1" l="1"/>
  <c r="X14" i="1" s="1"/>
  <c r="X15" i="1" s="1"/>
  <c r="X16" i="1" s="1"/>
  <c r="O13" i="1"/>
  <c r="O14" i="1" s="1"/>
  <c r="O15" i="1" s="1"/>
  <c r="O16" i="1" s="1"/>
  <c r="AG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saveData="1">
    <webPr sourceData="1" parsePre="1" consecutive="1" xl2000="1" url="http://www.espncricinfo.com/series/8048/commentary/548379/chennai-super-kings-vs-mumbai-indians-elimination-final?innings=2&amp;filter=full"/>
  </connection>
</connections>
</file>

<file path=xl/sharedStrings.xml><?xml version="1.0" encoding="utf-8"?>
<sst xmlns="http://schemas.openxmlformats.org/spreadsheetml/2006/main" count="350" uniqueCount="228">
  <si>
    <t>Live Score</t>
  </si>
  <si>
    <t>Score</t>
  </si>
  <si>
    <t>Buy Score</t>
  </si>
  <si>
    <t>Sell Score</t>
  </si>
  <si>
    <t>Pos</t>
  </si>
  <si>
    <t>Final Score Betting</t>
  </si>
  <si>
    <t>Lots</t>
  </si>
  <si>
    <t>Clear</t>
  </si>
  <si>
    <t>Live Quotes</t>
  </si>
  <si>
    <t>Live Commentary</t>
  </si>
  <si>
    <t>4s</t>
  </si>
  <si>
    <t>6s</t>
  </si>
  <si>
    <t>Player</t>
  </si>
  <si>
    <t>Inns</t>
  </si>
  <si>
    <t>NO</t>
  </si>
  <si>
    <t>Runs</t>
  </si>
  <si>
    <t>100s</t>
  </si>
  <si>
    <t>50s</t>
  </si>
  <si>
    <t>Avg</t>
  </si>
  <si>
    <t>S/R</t>
  </si>
  <si>
    <t>Bowler</t>
  </si>
  <si>
    <t>R</t>
  </si>
  <si>
    <t>SR</t>
  </si>
  <si>
    <t>B</t>
  </si>
  <si>
    <t>Over</t>
  </si>
  <si>
    <t>Partnership:</t>
  </si>
  <si>
    <t>CRR:</t>
  </si>
  <si>
    <t>HS</t>
  </si>
  <si>
    <t>Balls</t>
  </si>
  <si>
    <t>Wkts</t>
  </si>
  <si>
    <t>Eco</t>
  </si>
  <si>
    <t>Risk</t>
  </si>
  <si>
    <t>Final Score Trades</t>
  </si>
  <si>
    <t>Over Trades</t>
  </si>
  <si>
    <t>Overs</t>
  </si>
  <si>
    <t>Commentary</t>
  </si>
  <si>
    <t xml:space="preserve">Total    </t>
  </si>
  <si>
    <t xml:space="preserve">Final Score    </t>
  </si>
  <si>
    <t xml:space="preserve">Over    </t>
  </si>
  <si>
    <t>PnL</t>
  </si>
  <si>
    <t>Projected Score</t>
  </si>
  <si>
    <t>Last Over:</t>
  </si>
  <si>
    <t>Column1</t>
  </si>
  <si>
    <t> HS</t>
  </si>
  <si>
    <t>Jakati to Tendulkar, no run, tossed up outside off, driven towards cover point</t>
  </si>
  <si>
    <t>Jakati to Tendulkar, 1 run, pushed through by Jakati, Sachin gets forward and drives it to long off to get off the mark</t>
  </si>
  <si>
    <t>Jakati to Dwayne Smith, no run, loopy delivery on the stumps, driven back towards the bowler</t>
  </si>
  <si>
    <t>Jakati to Dwayne Smith, no run, flatter and outside off, driven towards cover point</t>
  </si>
  <si>
    <t>Jakati to Dwayne Smith, FOUR, fab shot, it was a touch wide outside off, Smith gets forward and drills it through extra cover for a boundary</t>
  </si>
  <si>
    <t>Jakati to Dwayne Smith, 1 run, flatter and on the stumps, worked towards long on for a single to keep strike</t>
  </si>
  <si>
    <t>Hilfenhaus to Dwayne Smith, FOUR, full ball on the pads, Dwayne Smith clears his front leg and clips it wide of mid-wicket for a boundary</t>
  </si>
  <si>
    <t>Hilfenhaus to Dwayne Smith, 2 runs, short of a length delivery on the stumps, Dwayne Smith chips it in the air over mid-wicket, good use of the bottom hand on that, did not time it all that well, just a couple for the batsman</t>
  </si>
  <si>
    <t>Hilfenhaus to Dwayne Smith, no run, good comeback from Hilfy, shortens the length outside off and gets it to move away, Dwayne Smith pushes at that and misses</t>
  </si>
  <si>
    <t>Hilfenhaus to Dwayne Smith, no run, short of a good length delivery outside off and angling away, Dwayne Smith looks to cut and gets a bottom edge towards the keeper</t>
  </si>
  <si>
    <t>Hilfenhaus to Dwayne Smith, no run, good length delivery on off, Smith prods forward in defence</t>
  </si>
  <si>
    <t>Hilfenhaus to Dwayne Smith, SIX, the boundaries are too short for Smith, this was short and outside off, Dwayne Smith was very late on the pull, gets a top edge that sails into the stands at third man</t>
  </si>
  <si>
    <t>SR Tendulkar</t>
  </si>
  <si>
    <t>Jakati, S</t>
  </si>
  <si>
    <t>Jakati to Tendulkar, FOUR, short and wide outside off, Tendulkar delays his cut, gets the placement in the gap between cover point and point, the ball races away to the fence</t>
  </si>
  <si>
    <t>Jakati to Tendulkar, no run, tad shorter and outside off, cut straight to the fielder at point</t>
  </si>
  <si>
    <t>Jakati to Tendulkar, 1 run, flighted delivery outside off, punched to long off for a single</t>
  </si>
  <si>
    <t>Jakati to Dwayne Smith, no run, tossed up on off and spinning away, defended towards cover point</t>
  </si>
  <si>
    <t>Jakati to Dwayne Smith, 1 run, flighted delivery on the pads, worked towards deep mid-wicket for a single</t>
  </si>
  <si>
    <t>Jakati to Tendulkar, no run, short and outside off, Tendulkar cuts but can't beat Jadeja at point</t>
  </si>
  <si>
    <t>DR Smith</t>
  </si>
  <si>
    <t>Hilfenaus B</t>
  </si>
  <si>
    <t>Hilfenhaus to Dwayne Smith, FOUR, length delivery outside off, Dwayne Smith gets forward, meets the ball on top of the bounce and lofts it over mid-off for a boundary</t>
  </si>
  <si>
    <t>Hilfenhaus to Dwayne Smith, no run, short delivery angling down the leg, Dwayne Smith swivels and mistimes his pull, the ball drops just short of short fine</t>
  </si>
  <si>
    <t>Hilfenhaus to Dwayne Smith, FOUR, mere flick of his wrists, short of a length delivery angling down the leg, Dwayne Smith swivels across and pulls behind square for a boundary</t>
  </si>
  <si>
    <t>Hilfenhaus to Dwayne Smith, no run, slower delivery outside off, Dwayne Smith cuts it square but can't beat the man at cover point</t>
  </si>
  <si>
    <t>Hilfenhaus to Dwayne Smith, SIX, you can't bowl short to this man, short and outside off, Dwayne Smith rocks back and pulls it over mid-wicket for a massive six</t>
  </si>
  <si>
    <t>Hilfenhaus to Dwayne Smith, no run, short slower ball on the stumps, Smith was very early into the pull, gets hit on his shoulder. Tendulkar wanted a single but is sent back by Smith</t>
  </si>
  <si>
    <t>RG Sharma</t>
  </si>
  <si>
    <t>Ashwin R</t>
  </si>
  <si>
    <t>Jakati to Tendulkar, no run, flighted delivery outside off, Tendulkar plays the slog swipe, can't beat Vijay at mid-wicket</t>
  </si>
  <si>
    <t>Jakati to Tendulkar, no run, tossed up on the stumps, Tendulkar backs away and drills it straight to the fielder at cover</t>
  </si>
  <si>
    <t>Jakati to Tendulkar, FOUR, too short from Jakati, Tendulkar backs away and cuts it square on the off-side past cover point for a boundary</t>
  </si>
  <si>
    <t>Jakati to Tendulkar, 1 run, flighted delivery on off, Tendulkar gets inside the line and drives it wide of cover for a single</t>
  </si>
  <si>
    <t>Jakati to Dwayne Smith, 1 run, flatter and on off, punched to long on for a single</t>
  </si>
  <si>
    <t>Jakati to Tendulkar, out Tendulkar Run Out!! Sachin sacrifices himself. This was short and outside off, Tendulkar backs away and cuts it straight to Jadeja at point, Dwayne Smith wanted a single and hared towards Sachin. Both batsmen were next to each other. Sachin ambles out of his crease and sacrifices himself. Big wicket for Chennai. He has a word or two with Smith, perhaps telling him not to worry. Tendulkar run out (Ravindra Jadeja/Jakati) 11(11) [4s-2]</t>
  </si>
  <si>
    <t>KD Karthik</t>
  </si>
  <si>
    <t>Jadega R</t>
  </si>
  <si>
    <t>Ashwin to Rohit Sharma, no run, flatter delivery on the pads, nudged towards the onside</t>
  </si>
  <si>
    <t>Ashwin to Rohit Sharma, no run, tossed up on the pads, Rohit Sharma looks to work towards the onside and misses, the ball lobs off the pads</t>
  </si>
  <si>
    <t>Ashwin to Rohit Sharma, 1 run, flighted delivery on the leg-stump line, nudged towards short fine for a single</t>
  </si>
  <si>
    <t>Ashwin to Dwayne Smith, 1 run, tossed up on the middle, Dwayne Smith gets back and works it towards mid-wicket for a single</t>
  </si>
  <si>
    <t>Ashwin to Rohit Sharma, 1 run, flighted and on the pads, nudged towards short square for a single</t>
  </si>
  <si>
    <t>Ashwin to Dwayne Smith, FOUR, wrong line from Ashwin, full and shaping down the leg, Dwayne Smith gets on top of the bounce and sweeps it powerfully behind square for a boundary</t>
  </si>
  <si>
    <t>JEC Franklin</t>
  </si>
  <si>
    <t>Morkel A</t>
  </si>
  <si>
    <t>Jakati to Rohit Sharma, 1 run, tossed up on the stumps, driven towards long off for a single</t>
  </si>
  <si>
    <t>Jakati to Dwayne Smith, out Caught by Ravindra Jadeja!! Smith departs. This was tossed up invitingly outside off and spinning away, bowled slower through the air, Dwayne Smith was looking to hoick it across the line, gets a thick outside edge that loops to Jadeja at backward point. Smith was looking good, but has fallen now. Dwayne Smith c Ravindra Jadeja b Jakati 38(22) [4s-5 6s-2]</t>
  </si>
  <si>
    <t>Jakati to Rohit Sharma, no run, tossed up on the stumps, Rohit Sharma looks to defend and gets a soft outside edge back towards the bowler.Dinesh Karthik, right handed bat, comes to the crease</t>
  </si>
  <si>
    <t>Jakati to Rohit Sharma, 2 runs, flighted delivery outside off and spinning away, Rohit Sharma cuts it behind point for a couple</t>
  </si>
  <si>
    <t>Jakati to Rohit Sharma, 2 runs, full ball on the pads, driven with soft hands towards deep mid-on, easy couple for the batsman</t>
  </si>
  <si>
    <t>Jakati to Rohit Sharma, 1 run, Jakati ends a good spell, flighted delivery on the pads, tucked towards wide long on for a single</t>
  </si>
  <si>
    <t>AT Rayudu</t>
  </si>
  <si>
    <t>Bravo DJ</t>
  </si>
  <si>
    <t>Ravindra Jadeja to Rohit Sharma, no run, flatter on the pads, Rohit Sharma nudges towards the onside. Ravindra Jadeja, left-arm orthodox, comes into the attack</t>
  </si>
  <si>
    <t>Ravindra Jadeja to Rohit Sharma, 1 run, short and wide outside off, Rohit Sharma cuts it square on the off-side for a single</t>
  </si>
  <si>
    <t>Ravindra Jadeja to Dinesh Karthik, FOUR, too short from Ravindra Jadeja, Dinesh Karthik rocks back and pulls it in the gap between mid-wicket and long on for a boundary</t>
  </si>
  <si>
    <t>Ravindra Jadeja to Dinesh Karthik, 1 run, tossed up on the middle, Dinesh Karthik nudges it wide of the bowler, wants a quick single and was a goner had Jadeja made a direct hit at the bowler's end</t>
  </si>
  <si>
    <t>Ravindra Jadeja to Rohit Sharma, 1 run, pushed through by Jadeja, worked to long on for a single</t>
  </si>
  <si>
    <t>Ravindra Jadeja to Dinesh Karthik, 1 run, flatter and outside off, Dinesh Karthik works it in front of point for a single</t>
  </si>
  <si>
    <t>KA Pollard</t>
  </si>
  <si>
    <t xml:space="preserve">Albie Morkel to Dinesh Karthik, out Caught by Dhoni!! Morkel has struck first ball. This was full outside off and just moves away, Dinesh Karthik was pushing forward with an angled bat, was looking to nudge it away towards third man, just gets a feather on that and an easy catch to Dhoni. Chennai are slowly moving towards a position of strength. Dinesh Karthik c Dhoni b Albie Morkel 6(4) [4s-1]. Albie Morkel to Dinesh Karthik, THATS OUT!! Caught!! . </t>
  </si>
  <si>
    <t>Albie Morkel to Franklin, no run, short of a length delivery outside off, dabbed towards backward point. James Franklin, left handed bat, comes to the crease</t>
  </si>
  <si>
    <t>Albie Morkel to Franklin, 1 run, full ball outside off and shaping away, Franklin drives and gets a thick outside edge towards third man</t>
  </si>
  <si>
    <t>Albie Morkel to Rohit Sharma, 1 run, fuller length delivery outside off, Rohit Sharma drives with a straight bat towards mid-off, Ashwin dives and deflects the ball away towards long on for a single</t>
  </si>
  <si>
    <t>Albie Morkel to Franklin, leg byes, 1 run, too straight from Albie Morkel, Franklin looks to flick and misses, the ball rolls behind square for a single</t>
  </si>
  <si>
    <t>Albie Morkel to Rohit Sharma, 1 run, good length delivery outside off, Rohit Sharma punches it in the air well wide of the bowler for a single to long off</t>
  </si>
  <si>
    <t>Harbhajan</t>
  </si>
  <si>
    <t>Ravichandran Ashwin [1.0-0-7-0] is back into the attack.Ashwin to Rohit Sharma, no run, flatter and outside off, punched back to the bowler</t>
  </si>
  <si>
    <t>Ashwin to Rohit Sharma, 1 run, pushed through on the pads, worked behind square for a single</t>
  </si>
  <si>
    <t>Ashwin to Franklin, 1 run, tossed up on the stumps, driven towards long on for a single</t>
  </si>
  <si>
    <t>Ashwin to Rohit Sharma, leg byes, 1 run, pushed through on the pads, Rohit Sharma looks to sweep and misses, the ball rolls off the pads for a single behind the keeper</t>
  </si>
  <si>
    <t>Ashwin to Franklin, 1 run, flighted delivery outside off and spinning away, nudged wide of point for a quick single</t>
  </si>
  <si>
    <t>Ashwin to Rohit Sharma, 1 run, full and on the pads, Rohit Sharma sweeps it powerfully, one bounce and to the man at deep backward square for a single</t>
  </si>
  <si>
    <t>SL Malinga</t>
  </si>
  <si>
    <t>Badrinath seems to have done some damage on his knees, the physio is out in the middle treating him.  Albie Morkel to Rohit Sharma, THATS OUT!! Caught!!. Albie Morkel to Rohit Sharma, out Caught by Dhoni!! Mindless slog from Rohit. This was a length delivery on the stumps, Rohit Sharma gives charge, looks to go over mid-wicket, gets a thick outside edge through to Dhoni. Mumbai are shooting themselves on their foot. They need someone to play a special like Dhoni did. Rohit Sharma c Dhoni b Albie Morkel 14(19)</t>
  </si>
  <si>
    <t>Ambati Rayudu, right handed bat, comes to the crease.  Albie Morkel to Rayudu, 2 runs, full and just outside off, Rayudu presents a straight bat as he drives it back past the bowler, Vijay gets across, puts in a slide and prevents a boundary</t>
  </si>
  <si>
    <t>Albie Morkel to Rayudu, FOUR, too straight from Albie Morkel, classily played by Rayudu, gets to the pitch of the ball and whips it past mid-wicket for a boundary</t>
  </si>
  <si>
    <t>Albie Morkel to Rayudu, leg byes, 1 run, length ball on the pads, Rayudu looks to flick and misses, the ball lobs off his pads</t>
  </si>
  <si>
    <t>Albie Morkel to Franklin, no run, short of a length delivery outside off, defended towards cover</t>
  </si>
  <si>
    <t>Albie Morkel to Franklin, SIX, shot, fraction too short from Albie Morkel, Franklin swivels across and helps the ball over the ropes at deep backward square leg for a massive six</t>
  </si>
  <si>
    <t>DS Kulkarni</t>
  </si>
  <si>
    <t>Ashwin to Rayudu, FOUR, flighted delivery outside off and angling away, Rayudu sweeps it in the air, clears square leg and races away to the fence for a boundary</t>
  </si>
  <si>
    <t>Ashwin to Rayudu, 1 run, tossed up on off, driven towards long on for a single</t>
  </si>
  <si>
    <t>Ashwin to Franklin, 1 run, slider outside off, punched away to sweeper cover for a single</t>
  </si>
  <si>
    <t>Ashwin to Rayudu, no run, the carrom ball from Ashwin, held its line after pitching, Rayudu plays inside the line and is beaten</t>
  </si>
  <si>
    <t>Ashwin to Rayudu, THATS OUT!! Caught!!. Ashwin to Rayudu, out Caught by Vijay!! Another player bites the dust. This was tossed up outside off and spinning away, Rayudu was looking to play the slog sweep, ends up top-edging it towards deep mid-wicket where Vijay settles underneath and completes a simple catch. Rayudu c Vijay b Ashwin 11(7) [4s-2]</t>
  </si>
  <si>
    <t>Kieron Pollard, right handed bat, comes to the crease. Ashwin to Franklin, 1 run, flighted delivery on the pads, worked in front of square for a single</t>
  </si>
  <si>
    <t>RP Singh</t>
  </si>
  <si>
    <t>Albie Morkel to Franklin, 1 run, Franklin flicks a length ball on the pads behind square for a single</t>
  </si>
  <si>
    <t>Albie Morkel to Pollard, no run, length delivery outside off and shaping away, left alone</t>
  </si>
  <si>
    <t>Albie Morkel to Pollard, no run, full and shaping away from outside off, Pollard looks to drive and gets a thickish outside edge towards mid-off</t>
  </si>
  <si>
    <t>Albie Morkel to Pollard, 1 run, short of a length ball outside off, dabbed towards cover for a quick single, easily completed in the end</t>
  </si>
  <si>
    <t>Albie Morkel to Franklin, 1 run, short delivery outside off, Franklin plays a short arm jab towards long on for a single, brings up the 100 for Mumbai</t>
  </si>
  <si>
    <t>Albie Morkel to Pollard, leg byes, 1 run, length delivery nipping back in from outside off, Pollard was pushing forward and misses, gets hit high on the pads and wide of point, the batsmen sneak in a leg-bye</t>
  </si>
  <si>
    <t>Dwayne Bravo, right-arm fast medium, comes into the attack. Dwayne Bravo to Pollard, 1 run, short of a length ball outside off, Pollard chips it in the air just wide of cover for a single</t>
  </si>
  <si>
    <t>Dwayne Bravo to Franklin, no run, good length delivery outside off and angling away, Franklin mistimes a drive back towards the bowler</t>
  </si>
  <si>
    <t>Dwayne Bravo to Franklin, THATS OUT!! Caught!!. Dwayne Bravo to Franklin, out Caught by Dhoni!! Chennai's night just got better. This was short and angling away from outside off, Franklin was looking to pull, gets an inside edge back to Dhoni who dives to his left and snaps a good catch. Is it the end of Mumbai in IPL 5? Franklin c Dhoni b Dwayne Bravo 13(13) [6s-1]</t>
  </si>
  <si>
    <t>Harbhajan Singh, right handed bat, comes to the crease.  Dwayne Bravo to Harbhajan, no run, Bhajji takes one right on his helmet, he looks shaken. This is not the way to yank out of the way to a bouncer, short bouncer on off, Harbhajan was very late in pulling away from the line, is hit on the grill of his helmet</t>
  </si>
  <si>
    <t>Dwayne Bravo to Harbhajan, 1 run, short of a length delivery outside off, Harbhajan pats it towards cover, hesitates even as Pollard wanted a single. Raina pounces on the ball at short point, flings in a throw but misses. Harbhajan was well out of his crease</t>
  </si>
  <si>
    <t>Dwayne Bravo to Pollard, no run, fuller length delivery sliding down the leg, Pollard looks to flick and misses, the ball goes off the pads towards point</t>
  </si>
  <si>
    <t xml:space="preserve">Ben Hilfenhaus [2.0-0-28-0] is back into the attack.  Hilfenhaus to Harbhajan, no run, swish and a miss, length delivery </t>
  </si>
  <si>
    <t>Hilfenhaus to Harbhajan, THATS OUT!! Caught!!. Hilfenhaus to Harbhajan, out Caught by Raina!! Excellent catch from Raina. This was a length ball outside off and shaping away, Harbhajan has another swing at that, gets a thick outside edge that swirls in the air. Raina ran back from backward point, kept his eyes on the ball and takes a splendid catch. Chennai are all but home. Harbhajan c Raina b Hilfenhaus 1(4)</t>
  </si>
  <si>
    <t>Lasith Malinga, right handed bat, comes to the crease. Hilfenhaus to Pollard, 1 run, good length delivery outside off, Pollard swings in his crease but only manages a thick inside edge towards long on for a single</t>
  </si>
  <si>
    <t>Hilfenhaus to Malinga, no run, short ball outside off and holding its line, left alone</t>
  </si>
  <si>
    <t>Hilfenhaus to Malinga, 1 run, short of a length ball outside off, Malinga opens the face of the bat and steers it towards third man for a single</t>
  </si>
  <si>
    <t>Hilfenhaus to Pollard, SIX, Saha takes the catch but sadly he is outside the boundary ropes, it looked like a mishit from Pollard, looks to swing a length ball back over the bowler's head, ends inside edge onto the pads carving it in the air and towards sweeper cover. The ball has enough power behind it, Saha backpedals, takes the catch and falls on the covers outside the ropes</t>
  </si>
  <si>
    <t>Dwayne Bravo to Malinga, no run, good length delivery on the stumps, defended back towards the bowler</t>
  </si>
  <si>
    <t>Dwayne Bravo to Malinga, no run, slower ball on off, Malinga pushes it towards cover. Pollard wanted a single and is sent back by Malinga</t>
  </si>
  <si>
    <t>Dwayne Bravo to Malinga, leg byes, 1 run, short ball following Malinga as he backs away, he misses his flick and takes a leg-bye towards point</t>
  </si>
  <si>
    <t>Dwayne Bravo to Pollard, no run, beautifully bowled by Bravo, yorker length delivery on the stumps, Pollard digs it out towards deep mid-wicket, refuses a single</t>
  </si>
  <si>
    <t>Dwayne Bravo to Pollard, FOUR, this is the reason for his refusal of a single, gets under a length delivery and muscles it wide of deep mid-wicket for a boundary</t>
  </si>
  <si>
    <t>Dwayne Bravo to Pollard, no run, short bouncer following Pollard as he backed away, Pollard looks to pull and misses. Words exchanged between the two men from Trinidad</t>
  </si>
  <si>
    <t>Hilfenhaus to Malinga, 1 run, short of a length ball outside off, punched to the left of Rain at point, Pollard was always coming for a single and gets it with ease</t>
  </si>
  <si>
    <t>Hilfenhaus to Pollard, no run, full and wide outside off, Pollard looks to carve it out of the ground and misses</t>
  </si>
  <si>
    <t>Hilfenhaus to Pollard, no run, yorker length delivery outside off, excellently bowled by Hilfenhaus, Pollard can only dig it back towards the bowler</t>
  </si>
  <si>
    <t>Hilfenhaus to Pollard, 1 run, full ball outside off, Pollard squirts it off an outside edge towards third man for a single</t>
  </si>
  <si>
    <t>Hilfenhaus to Malinga, FOUR, short ball outside off, Malinga backs away and slaps a short arm jab over mid-off for a boundary</t>
  </si>
  <si>
    <t>Hilfenhaus to Malinga, no run, another short delivery on the stumps, Malinga backs away, has a swing and a miss</t>
  </si>
  <si>
    <t>Dwayne Bravo to Pollard, no run, short and wide outside off, it would have been a wide had Pollard left it, he chases and gets a thick inside edge back towards the bowler</t>
  </si>
  <si>
    <t>Dwayne Bravo to Pollard, 1 run, excellent yorker from Dwayne Bravo, Pollard just about digs it back towards the bowler. Bravo can't stop it cleanly and allows a single</t>
  </si>
  <si>
    <t>Dwayne Bravo to Malinga, 1 run, Malinga swings a length delivery towards deep mid-wicket for a single</t>
  </si>
  <si>
    <t>Dwayne Bravo to Pollard, 1 run, slower full toss outside off, Pollard looks to paddle it fine, only manages to get it straight to short fine for a single</t>
  </si>
  <si>
    <t>Dwayne Bravo to Malinga, 1 run, good length delivery outside off, Malinga slaps it to deep cover for a single</t>
  </si>
  <si>
    <t>Dwayne Bravo to Pollard, out Caught by Raina!! This time Pollard is a goner. This was short and outside off, Pollard looks to pull, gets it right off the toe-edge of the bat. It goes high and straight to long on. Raina settles underneath it and takes a good catch. Bravo has a sly chat with his T&amp;T mate, was perhaps telling him how to play that shot. All ends in fun though, CSK are almost through to meet DD in the semis. Pollard c Raina b Dwayne Bravo 16(19) [4s-1 6s-1]</t>
  </si>
  <si>
    <t>Dhawal Kulkarni, right handed bat, comes to the crease. Albie Morkel [3.0-0-18-2] is back into the attack. Albie Morkel to Malinga, no run, good length delivery outside off and shaping away, Malinga has a swing and a miss</t>
  </si>
  <si>
    <t>Albie Morkel to Malinga, 1 run, yorker length delivery outside off, dug out towards cover for a single</t>
  </si>
  <si>
    <t>Albie Morkel to Dhawal Kulkarni, 1 run, yorker length delivery on the stumps, driven towards long on for a single</t>
  </si>
  <si>
    <t>Albie Morkel to Malinga, SIX, massive, short and on the stumps, Malinga backs away and pulls it deep into the crowds at mid-wicket for a maximum</t>
  </si>
  <si>
    <t>Albie Morkel to Malinga, 1 run, full and outside off, Malinga slices in the air, drops just short of Hussey at extra cover</t>
  </si>
  <si>
    <t>Albie Morkel to Dhawal Kulkarni, FOUR, fuller length delivery outside off, Dhawal Kulkarni gets forward and drills it wide of long off for a boundary</t>
  </si>
  <si>
    <t>Ravindra Jadeja [1.0-0-8-0] is back into the attack.  Ravindra Jadeja to Malinga, 1 run, catch dropped by Ravindra Jadeja, this was thrashed back at him, the bowler gets a finger tip on that and drops, the ball rolls towards long on for a single</t>
  </si>
  <si>
    <t>Ravindra Jadeja to Dhawal Kulkarni, FOUR, full ball outside off, swung away wide of deep mid-wicket for a boundary</t>
  </si>
  <si>
    <t>Ravindra Jadeja to Dhawal Kulkarni, 1 run, flatter and on the stumps, worked wide of cover point for a single</t>
  </si>
  <si>
    <t>Ravindra Jadeja to Malinga, out Bowled!! Cleaned up. Flighted delivery on the dtumps, Malinga has a heave across the line, misses it, the ball ricochets off the pads and to the stumps. Just 2 more balls for this nightmare to end for Mumbai. Malinga b Ravindra Jadeja 17(16) [4s-1 6s-1]</t>
  </si>
  <si>
    <t>RP Singh, right handed bat, comes to the crease. Ravindra Jadeja to RP Singh, 1 run, flighted delivery on off, driven towards cover for a single</t>
  </si>
  <si>
    <t>Ravindra Jadeja to Dhawal Kulkarni, no run, MI are out, CSK face DD for a place in the finals, this was quicker and on the pads, Dhawal Kulkarni looks to flick and misses, the ball rolls towards cover point</t>
  </si>
  <si>
    <t>SparklinePlot</t>
  </si>
  <si>
    <t>Match Facts</t>
  </si>
  <si>
    <t>Location</t>
  </si>
  <si>
    <t>M.Chinnaswamy Stadium, Bengaluru</t>
  </si>
  <si>
    <t>Pitch Report</t>
  </si>
  <si>
    <t>Injury Report</t>
  </si>
  <si>
    <t>Tendulkar is dealing with a mild shoulder injury from his last match with RR.</t>
  </si>
  <si>
    <t>W</t>
  </si>
  <si>
    <t>M</t>
  </si>
  <si>
    <t xml:space="preserve">R
</t>
  </si>
  <si>
    <t>Next Ball&gt;&gt;</t>
  </si>
  <si>
    <t>TimeStamp</t>
  </si>
  <si>
    <t>Trigger</t>
  </si>
  <si>
    <t>Projected Final Score</t>
  </si>
  <si>
    <t>Final Score Position</t>
  </si>
  <si>
    <t>This Over</t>
  </si>
  <si>
    <t>Projected Over Score</t>
  </si>
  <si>
    <t>Over Score Position</t>
  </si>
  <si>
    <t>PnL Match</t>
  </si>
  <si>
    <t>PnL Over</t>
  </si>
  <si>
    <t>PnL Total</t>
  </si>
  <si>
    <t>Response Time</t>
  </si>
  <si>
    <t>Final Position</t>
  </si>
  <si>
    <t>Over Position</t>
  </si>
  <si>
    <t>Final PnL</t>
  </si>
  <si>
    <t>Over PnL</t>
  </si>
  <si>
    <t>Final</t>
  </si>
  <si>
    <t>Total</t>
  </si>
  <si>
    <t>Normal</t>
  </si>
  <si>
    <t>Boundaries</t>
  </si>
  <si>
    <t>Wickets</t>
  </si>
  <si>
    <t>Total Game Time</t>
  </si>
  <si>
    <t xml:space="preserve"> </t>
  </si>
  <si>
    <t>5w</t>
  </si>
  <si>
    <t>10w</t>
  </si>
  <si>
    <t>Mumbai Indians v/s Royal Challengers Bangalore</t>
  </si>
  <si>
    <t>Green Top Pitch with a bit of Dust. A great combination for pacers.</t>
  </si>
  <si>
    <t>Next Ball</t>
  </si>
  <si>
    <t>Trade</t>
  </si>
  <si>
    <t>1(2)</t>
  </si>
  <si>
    <t>23:37:17   Sell  11 Lots @ 6</t>
  </si>
  <si>
    <t>7 R, 1 W</t>
  </si>
  <si>
    <t>23:37:29   Sell  1 Lots @ 158</t>
  </si>
  <si>
    <t>DS Kulkarni*</t>
  </si>
  <si>
    <t>RP Singh*</t>
  </si>
  <si>
    <t>143/9</t>
  </si>
  <si>
    <t>21th Over Betting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</si>
</sst>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_ [$₹-445]\ * #,##0.00_ ;_ [$₹-445]\ * \-#,##0.00_ ;_ [$₹-445]\ * &quot;-&quot;??_ ;_ @_ "/>
    <numFmt numFmtId="166" formatCode="h:mm:ss;@"/>
    <numFmt numFmtId="167" formatCode="0.0"/>
  </numFmts>
  <fonts count="27" x14ac:knownFonts="1">
    <font>
      <sz val="11"/>
      <color theme="1"/>
      <name val="Calibri"/>
      <family val="2"/>
      <scheme val="minor"/>
    </font>
    <font>
      <b/>
      <sz val="11"/>
      <color theme="0"/>
      <name val="Calibri"/>
      <family val="2"/>
      <scheme val="minor"/>
    </font>
    <font>
      <b/>
      <sz val="11"/>
      <color theme="1"/>
      <name val="Calibri"/>
      <family val="2"/>
      <scheme val="minor"/>
    </font>
    <font>
      <b/>
      <sz val="28"/>
      <color theme="0"/>
      <name val="Calibri"/>
      <family val="2"/>
      <scheme val="minor"/>
    </font>
    <font>
      <sz val="11"/>
      <name val="Calibri"/>
      <family val="2"/>
      <scheme val="minor"/>
    </font>
    <font>
      <sz val="11"/>
      <color theme="1" tint="0.34998626667073579"/>
      <name val="Calibri"/>
      <family val="2"/>
      <scheme val="minor"/>
    </font>
    <font>
      <sz val="11"/>
      <color theme="4"/>
      <name val="Calibri"/>
      <family val="2"/>
      <scheme val="minor"/>
    </font>
    <font>
      <b/>
      <sz val="18"/>
      <color theme="1"/>
      <name val="Calibri"/>
      <family val="2"/>
      <scheme val="minor"/>
    </font>
    <font>
      <sz val="10"/>
      <color theme="1"/>
      <name val="Calibri"/>
      <family val="2"/>
      <scheme val="minor"/>
    </font>
    <font>
      <sz val="10"/>
      <color theme="1" tint="0.499984740745262"/>
      <name val="Calibri"/>
      <family val="2"/>
      <scheme val="minor"/>
    </font>
    <font>
      <sz val="10"/>
      <color theme="0" tint="-0.499984740745262"/>
      <name val="Calibri"/>
      <family val="2"/>
      <scheme val="minor"/>
    </font>
    <font>
      <sz val="10"/>
      <color theme="1" tint="0.249977111117893"/>
      <name val="Calibri"/>
      <family val="2"/>
      <scheme val="minor"/>
    </font>
    <font>
      <sz val="10"/>
      <color rgb="FF0070C0"/>
      <name val="Calibri"/>
      <family val="2"/>
      <scheme val="minor"/>
    </font>
    <font>
      <sz val="11"/>
      <color theme="1"/>
      <name val="Calibri"/>
      <family val="2"/>
      <scheme val="minor"/>
    </font>
    <font>
      <sz val="10"/>
      <color theme="1" tint="0.34998626667073579"/>
      <name val="Calibri"/>
      <family val="2"/>
      <scheme val="minor"/>
    </font>
    <font>
      <b/>
      <sz val="10"/>
      <color theme="1"/>
      <name val="Calibri"/>
      <family val="2"/>
      <scheme val="minor"/>
    </font>
    <font>
      <sz val="9"/>
      <color theme="1"/>
      <name val="Calibri"/>
      <family val="2"/>
      <scheme val="minor"/>
    </font>
    <font>
      <sz val="11"/>
      <color theme="1" tint="0.499984740745262"/>
      <name val="Calibri"/>
      <family val="2"/>
      <scheme val="minor"/>
    </font>
    <font>
      <sz val="8"/>
      <color theme="1" tint="0.34998626667073579"/>
      <name val="Calibri"/>
      <family val="2"/>
      <scheme val="minor"/>
    </font>
    <font>
      <sz val="10"/>
      <color theme="1" tint="0.14999847407452621"/>
      <name val="Calibri"/>
      <family val="2"/>
      <scheme val="minor"/>
    </font>
    <font>
      <sz val="11"/>
      <color theme="1" tint="0.249977111117893"/>
      <name val="Calibri"/>
      <family val="2"/>
      <scheme val="minor"/>
    </font>
    <font>
      <sz val="11"/>
      <color theme="0"/>
      <name val="Calibri"/>
      <family val="2"/>
      <scheme val="minor"/>
    </font>
    <font>
      <b/>
      <sz val="10"/>
      <color theme="1" tint="0.249977111117893"/>
      <name val="Calibri"/>
      <family val="2"/>
      <scheme val="minor"/>
    </font>
    <font>
      <sz val="11"/>
      <color theme="1" tint="0.34998626667073579"/>
      <name val="Segoe UI"/>
      <family val="2"/>
    </font>
    <font>
      <b/>
      <sz val="11"/>
      <color rgb="FF323232"/>
      <name val="Arial"/>
      <family val="2"/>
    </font>
    <font>
      <sz val="11"/>
      <color theme="1" tint="4.9989318521683403E-2"/>
      <name val="Calibri"/>
      <family val="2"/>
      <scheme val="minor"/>
    </font>
    <font>
      <sz val="9"/>
      <color theme="1" tint="0.34998626667073579"/>
      <name val="Segoe UI"/>
      <family val="2"/>
    </font>
  </fonts>
  <fills count="16">
    <fill>
      <patternFill patternType="none"/>
    </fill>
    <fill>
      <patternFill patternType="gray125"/>
    </fill>
    <fill>
      <gradientFill degree="90">
        <stop position="0">
          <color theme="3" tint="-0.25098422193060094"/>
        </stop>
        <stop position="1">
          <color theme="3" tint="-0.49803155613879818"/>
        </stop>
      </gradientFill>
    </fill>
    <fill>
      <gradientFill degree="90">
        <stop position="0">
          <color theme="5" tint="-0.25098422193060094"/>
        </stop>
        <stop position="1">
          <color theme="5" tint="-0.49803155613879818"/>
        </stop>
      </gradientFill>
    </fill>
    <fill>
      <patternFill patternType="solid">
        <fgColor theme="0" tint="-0.249977111117893"/>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00000"/>
        <bgColor indexed="64"/>
      </patternFill>
    </fill>
    <fill>
      <patternFill patternType="solid">
        <fgColor rgb="FF002060"/>
        <bgColor indexed="64"/>
      </patternFill>
    </fill>
    <fill>
      <patternFill patternType="solid">
        <fgColor rgb="FF0070C0"/>
        <bgColor indexed="64"/>
      </patternFill>
    </fill>
    <fill>
      <gradientFill degree="90">
        <stop position="0">
          <color theme="0" tint="-0.1490218817712943"/>
        </stop>
        <stop position="0.5">
          <color theme="0" tint="-0.25098422193060094"/>
        </stop>
        <stop position="1">
          <color theme="0" tint="-0.1490218817712943"/>
        </stop>
      </gradientFill>
    </fill>
    <fill>
      <gradientFill degree="90">
        <stop position="0">
          <color theme="9" tint="-0.25098422193060094"/>
        </stop>
        <stop position="1">
          <color theme="9"/>
        </stop>
      </gradientFill>
    </fill>
    <fill>
      <patternFill patternType="solid">
        <fgColor theme="0" tint="-0.14999847407452621"/>
        <bgColor indexed="64"/>
      </patternFill>
    </fill>
    <fill>
      <patternFill patternType="solid">
        <fgColor theme="0" tint="-0.14999847407452621"/>
        <bgColor auto="1"/>
      </patternFill>
    </fill>
    <fill>
      <patternFill patternType="solid">
        <fgColor rgb="FFFFFF00"/>
        <bgColor indexed="64"/>
      </patternFill>
    </fill>
    <fill>
      <gradientFill degree="90">
        <stop position="0">
          <color theme="0" tint="-0.34900967436750391"/>
        </stop>
        <stop position="1">
          <color theme="0" tint="-0.49803155613879818"/>
        </stop>
      </gradientFill>
    </fill>
  </fills>
  <borders count="5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right>
      <top style="thin">
        <color theme="0" tint="-0.499984740745262"/>
      </top>
      <bottom style="thin">
        <color theme="0"/>
      </bottom>
      <diagonal/>
    </border>
    <border>
      <left style="thin">
        <color theme="0"/>
      </left>
      <right style="thin">
        <color theme="0"/>
      </right>
      <top style="thin">
        <color theme="0" tint="-0.499984740745262"/>
      </top>
      <bottom style="thin">
        <color theme="0"/>
      </bottom>
      <diagonal/>
    </border>
    <border>
      <left style="thin">
        <color theme="0"/>
      </left>
      <right/>
      <top style="thin">
        <color theme="0" tint="-0.499984740745262"/>
      </top>
      <bottom style="thin">
        <color theme="0"/>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right>
      <top style="thin">
        <color theme="0"/>
      </top>
      <bottom style="thin">
        <color theme="0" tint="-0.499984740745262"/>
      </bottom>
      <diagonal/>
    </border>
    <border>
      <left style="thin">
        <color theme="0"/>
      </left>
      <right style="thin">
        <color theme="0"/>
      </right>
      <top style="thin">
        <color theme="0"/>
      </top>
      <bottom style="thin">
        <color theme="0" tint="-0.499984740745262"/>
      </bottom>
      <diagonal/>
    </border>
    <border>
      <left style="thin">
        <color theme="0"/>
      </left>
      <right/>
      <top style="thin">
        <color theme="0"/>
      </top>
      <bottom style="thin">
        <color theme="0" tint="-0.499984740745262"/>
      </bottom>
      <diagonal/>
    </border>
    <border>
      <left/>
      <right style="thin">
        <color theme="0" tint="-0.499984740745262"/>
      </right>
      <top/>
      <bottom style="thin">
        <color theme="0" tint="-0.499984740745262"/>
      </bottom>
      <diagonal/>
    </border>
    <border>
      <left style="thin">
        <color theme="0"/>
      </left>
      <right style="thin">
        <color theme="0" tint="-0.499984740745262"/>
      </right>
      <top style="thin">
        <color theme="0"/>
      </top>
      <bottom style="thin">
        <color theme="0"/>
      </bottom>
      <diagonal/>
    </border>
    <border>
      <left style="thin">
        <color theme="0" tint="-0.499984740745262"/>
      </left>
      <right style="thin">
        <color theme="0"/>
      </right>
      <top style="thin">
        <color theme="0"/>
      </top>
      <bottom style="thin">
        <color theme="0"/>
      </bottom>
      <diagonal/>
    </border>
    <border>
      <left style="thin">
        <color theme="0"/>
      </left>
      <right style="thin">
        <color theme="0" tint="-0.499984740745262"/>
      </right>
      <top style="thin">
        <color theme="0"/>
      </top>
      <bottom/>
      <diagonal/>
    </border>
    <border>
      <left style="thin">
        <color theme="0" tint="-0.499984740745262"/>
      </left>
      <right style="thin">
        <color theme="0" tint="-0.499984740745262"/>
      </right>
      <top style="thin">
        <color theme="0"/>
      </top>
      <bottom/>
      <diagonal/>
    </border>
    <border>
      <left style="thin">
        <color theme="0" tint="-0.499984740745262"/>
      </left>
      <right style="thin">
        <color theme="0"/>
      </right>
      <top style="thin">
        <color theme="0"/>
      </top>
      <bottom/>
      <diagonal/>
    </border>
    <border>
      <left style="thin">
        <color theme="0" tint="-0.499984740745262"/>
      </left>
      <right style="thin">
        <color theme="0"/>
      </right>
      <top style="thin">
        <color theme="0" tint="-0.499984740745262"/>
      </top>
      <bottom style="thin">
        <color theme="0"/>
      </bottom>
      <diagonal/>
    </border>
    <border>
      <left style="thin">
        <color theme="0"/>
      </left>
      <right style="thin">
        <color theme="0" tint="-0.499984740745262"/>
      </right>
      <top style="thin">
        <color theme="0" tint="-0.499984740745262"/>
      </top>
      <bottom style="thin">
        <color theme="0"/>
      </bottom>
      <diagonal/>
    </border>
    <border>
      <left style="thin">
        <color theme="0" tint="-0.499984740745262"/>
      </left>
      <right style="thin">
        <color theme="0"/>
      </right>
      <top style="thin">
        <color theme="0"/>
      </top>
      <bottom style="thin">
        <color theme="0" tint="-0.499984740745262"/>
      </bottom>
      <diagonal/>
    </border>
    <border>
      <left style="thin">
        <color theme="0"/>
      </left>
      <right style="thin">
        <color theme="0" tint="-0.499984740745262"/>
      </right>
      <top style="thin">
        <color theme="0"/>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499984740745262"/>
      </left>
      <right style="thin">
        <color theme="0"/>
      </right>
      <top style="thin">
        <color theme="0" tint="-0.499984740745262"/>
      </top>
      <bottom/>
      <diagonal/>
    </border>
    <border>
      <left style="thin">
        <color theme="0"/>
      </left>
      <right style="thin">
        <color theme="0"/>
      </right>
      <top style="thin">
        <color theme="0" tint="-0.499984740745262"/>
      </top>
      <bottom/>
      <diagonal/>
    </border>
    <border>
      <left style="thin">
        <color theme="0"/>
      </left>
      <right style="thin">
        <color theme="0" tint="-0.499984740745262"/>
      </right>
      <top style="thin">
        <color theme="0" tint="-0.499984740745262"/>
      </top>
      <bottom/>
      <diagonal/>
    </border>
    <border>
      <left style="thin">
        <color theme="0" tint="-0.499984740745262"/>
      </left>
      <right/>
      <top/>
      <bottom/>
      <diagonal/>
    </border>
    <border>
      <left style="thin">
        <color theme="0" tint="-0.499984740745262"/>
      </left>
      <right/>
      <top/>
      <bottom style="thin">
        <color theme="0"/>
      </bottom>
      <diagonal/>
    </border>
    <border>
      <left/>
      <right style="thin">
        <color theme="0" tint="-0.499984740745262"/>
      </right>
      <top/>
      <bottom style="thin">
        <color theme="0"/>
      </bottom>
      <diagonal/>
    </border>
    <border>
      <left style="thin">
        <color theme="0" tint="-0.499984740745262"/>
      </left>
      <right/>
      <top style="thin">
        <color theme="0"/>
      </top>
      <bottom style="thin">
        <color theme="0"/>
      </bottom>
      <diagonal/>
    </border>
    <border>
      <left/>
      <right style="thin">
        <color theme="0" tint="-0.499984740745262"/>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164" fontId="13" fillId="0" borderId="0" applyFont="0" applyFill="0" applyBorder="0" applyAlignment="0" applyProtection="0"/>
  </cellStyleXfs>
  <cellXfs count="155">
    <xf numFmtId="0" fontId="0" fillId="0" borderId="0" xfId="0"/>
    <xf numFmtId="0" fontId="0" fillId="0" borderId="0" xfId="0" applyBorder="1"/>
    <xf numFmtId="0" fontId="2" fillId="4" borderId="1" xfId="0" applyFont="1" applyFill="1" applyBorder="1" applyAlignment="1">
      <alignment horizontal="center"/>
    </xf>
    <xf numFmtId="0" fontId="2" fillId="6" borderId="1" xfId="0" applyFont="1" applyFill="1" applyBorder="1"/>
    <xf numFmtId="0" fontId="2" fillId="7" borderId="1" xfId="0" applyFont="1" applyFill="1" applyBorder="1"/>
    <xf numFmtId="0" fontId="1" fillId="8" borderId="2" xfId="0" applyFont="1" applyFill="1" applyBorder="1"/>
    <xf numFmtId="0" fontId="1" fillId="9" borderId="2" xfId="0" applyFont="1" applyFill="1" applyBorder="1"/>
    <xf numFmtId="0" fontId="0" fillId="5" borderId="2" xfId="0" applyFill="1" applyBorder="1"/>
    <xf numFmtId="0" fontId="0" fillId="5" borderId="3" xfId="0" applyFill="1" applyBorder="1"/>
    <xf numFmtId="19" fontId="0" fillId="0" borderId="0" xfId="0" applyNumberFormat="1"/>
    <xf numFmtId="0" fontId="0" fillId="0" borderId="0" xfId="0"/>
    <xf numFmtId="0" fontId="12" fillId="5" borderId="0" xfId="0" applyFont="1" applyFill="1" applyBorder="1" applyAlignment="1">
      <alignment horizontal="left"/>
    </xf>
    <xf numFmtId="0" fontId="8" fillId="5" borderId="0" xfId="0" applyFont="1" applyFill="1" applyBorder="1" applyAlignment="1">
      <alignment horizontal="left"/>
    </xf>
    <xf numFmtId="0" fontId="8" fillId="5" borderId="0" xfId="0" applyFont="1" applyFill="1" applyBorder="1"/>
    <xf numFmtId="0" fontId="9" fillId="5" borderId="0" xfId="0" applyFont="1" applyFill="1" applyBorder="1" applyAlignment="1">
      <alignment horizontal="left"/>
    </xf>
    <xf numFmtId="0" fontId="10" fillId="5" borderId="0" xfId="0" applyFont="1" applyFill="1" applyBorder="1" applyAlignment="1">
      <alignment horizontal="center" vertical="center"/>
    </xf>
    <xf numFmtId="0" fontId="12" fillId="5" borderId="0" xfId="0" applyFont="1" applyFill="1"/>
    <xf numFmtId="0" fontId="8" fillId="5" borderId="0" xfId="0" applyFont="1" applyFill="1"/>
    <xf numFmtId="0" fontId="14" fillId="12" borderId="0" xfId="0" applyFont="1" applyFill="1"/>
    <xf numFmtId="0" fontId="14" fillId="12" borderId="0" xfId="0" applyFont="1" applyFill="1" applyAlignment="1">
      <alignment horizontal="right"/>
    </xf>
    <xf numFmtId="0" fontId="0" fillId="14" borderId="0" xfId="0" applyFill="1"/>
    <xf numFmtId="0" fontId="0" fillId="0" borderId="0" xfId="0" quotePrefix="1"/>
    <xf numFmtId="0" fontId="6" fillId="5" borderId="7" xfId="0" applyFont="1" applyFill="1" applyBorder="1"/>
    <xf numFmtId="0" fontId="0" fillId="5" borderId="8" xfId="0" applyFill="1" applyBorder="1"/>
    <xf numFmtId="0" fontId="10" fillId="5" borderId="10" xfId="0" applyFont="1" applyFill="1" applyBorder="1" applyAlignment="1">
      <alignment horizontal="center" vertical="center"/>
    </xf>
    <xf numFmtId="0" fontId="10" fillId="5" borderId="11" xfId="0" applyFont="1" applyFill="1" applyBorder="1" applyAlignment="1">
      <alignment horizontal="center" vertical="center"/>
    </xf>
    <xf numFmtId="0" fontId="11" fillId="5" borderId="12" xfId="0" applyFont="1" applyFill="1" applyBorder="1" applyAlignment="1">
      <alignment horizontal="center" vertical="center"/>
    </xf>
    <xf numFmtId="0" fontId="11" fillId="5" borderId="13" xfId="0" applyFont="1" applyFill="1" applyBorder="1" applyAlignment="1">
      <alignment horizontal="center" vertical="center"/>
    </xf>
    <xf numFmtId="0" fontId="11" fillId="5" borderId="14" xfId="0" applyFont="1" applyFill="1" applyBorder="1" applyAlignment="1">
      <alignment horizontal="center" vertical="center"/>
    </xf>
    <xf numFmtId="0" fontId="0" fillId="5" borderId="9" xfId="0" applyFill="1" applyBorder="1"/>
    <xf numFmtId="0" fontId="9" fillId="5" borderId="8" xfId="0" applyFont="1" applyFill="1" applyBorder="1" applyAlignment="1">
      <alignment horizontal="left"/>
    </xf>
    <xf numFmtId="0" fontId="8" fillId="5" borderId="8" xfId="0" applyFont="1" applyFill="1" applyBorder="1" applyAlignment="1">
      <alignment horizontal="left"/>
    </xf>
    <xf numFmtId="0" fontId="0" fillId="5" borderId="11" xfId="0" applyFill="1" applyBorder="1"/>
    <xf numFmtId="0" fontId="16" fillId="5" borderId="17" xfId="0" applyFont="1" applyFill="1" applyBorder="1" applyAlignment="1">
      <alignment horizontal="center" vertical="center"/>
    </xf>
    <xf numFmtId="0" fontId="16" fillId="5" borderId="18" xfId="0" applyFont="1" applyFill="1" applyBorder="1" applyAlignment="1">
      <alignment horizontal="center" vertical="center"/>
    </xf>
    <xf numFmtId="0" fontId="8" fillId="5" borderId="3" xfId="0" applyFont="1" applyFill="1" applyBorder="1" applyAlignment="1">
      <alignment horizontal="center"/>
    </xf>
    <xf numFmtId="0" fontId="8" fillId="5" borderId="15" xfId="0" applyFont="1" applyFill="1" applyBorder="1" applyAlignment="1">
      <alignment horizontal="center"/>
    </xf>
    <xf numFmtId="0" fontId="8" fillId="5" borderId="2" xfId="0" applyFont="1" applyFill="1" applyBorder="1" applyAlignment="1">
      <alignment horizontal="center"/>
    </xf>
    <xf numFmtId="0" fontId="8" fillId="0" borderId="1" xfId="0" applyFont="1" applyBorder="1" applyAlignment="1">
      <alignment horizontal="center"/>
    </xf>
    <xf numFmtId="0" fontId="8" fillId="0" borderId="1" xfId="0" applyFont="1" applyBorder="1" applyAlignment="1">
      <alignment horizontal="right"/>
    </xf>
    <xf numFmtId="0" fontId="0" fillId="10" borderId="19" xfId="0" applyFill="1" applyBorder="1" applyAlignment="1" applyProtection="1">
      <alignment horizontal="center"/>
      <protection locked="0"/>
    </xf>
    <xf numFmtId="0" fontId="0" fillId="5" borderId="20" xfId="0" applyFill="1" applyBorder="1"/>
    <xf numFmtId="0" fontId="1" fillId="8" borderId="20" xfId="0" applyFont="1" applyFill="1" applyBorder="1"/>
    <xf numFmtId="0" fontId="2" fillId="4" borderId="21" xfId="0" applyFont="1" applyFill="1" applyBorder="1" applyAlignment="1">
      <alignment horizontal="center"/>
    </xf>
    <xf numFmtId="0" fontId="2" fillId="6" borderId="21" xfId="0" applyFont="1" applyFill="1" applyBorder="1"/>
    <xf numFmtId="0" fontId="0" fillId="5" borderId="22" xfId="0" applyFill="1" applyBorder="1"/>
    <xf numFmtId="0" fontId="0" fillId="0" borderId="23" xfId="0" applyBorder="1"/>
    <xf numFmtId="0" fontId="0" fillId="0" borderId="24" xfId="0" applyBorder="1"/>
    <xf numFmtId="0" fontId="0" fillId="5" borderId="25" xfId="0" applyFill="1" applyBorder="1"/>
    <xf numFmtId="0" fontId="1" fillId="9" borderId="25" xfId="0" applyFont="1" applyFill="1" applyBorder="1"/>
    <xf numFmtId="0" fontId="2" fillId="4" borderId="26" xfId="0" applyFont="1" applyFill="1" applyBorder="1" applyAlignment="1">
      <alignment horizontal="center"/>
    </xf>
    <xf numFmtId="0" fontId="2" fillId="7" borderId="26" xfId="0" applyFont="1" applyFill="1" applyBorder="1"/>
    <xf numFmtId="0" fontId="0" fillId="5" borderId="27" xfId="0" applyFill="1" applyBorder="1"/>
    <xf numFmtId="0" fontId="0" fillId="0" borderId="28" xfId="0" applyBorder="1"/>
    <xf numFmtId="0" fontId="0" fillId="5" borderId="0" xfId="0" applyFill="1" applyBorder="1"/>
    <xf numFmtId="0" fontId="0" fillId="5" borderId="0" xfId="0" applyFill="1" applyBorder="1" applyAlignment="1">
      <alignment horizontal="center"/>
    </xf>
    <xf numFmtId="0" fontId="0" fillId="5" borderId="11" xfId="0" applyFill="1" applyBorder="1" applyAlignment="1">
      <alignment horizontal="center"/>
    </xf>
    <xf numFmtId="0" fontId="0" fillId="0" borderId="38" xfId="0" applyBorder="1"/>
    <xf numFmtId="0" fontId="0" fillId="0" borderId="39" xfId="0" applyBorder="1"/>
    <xf numFmtId="0" fontId="0" fillId="0" borderId="40" xfId="0" applyBorder="1"/>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0" fontId="8" fillId="5" borderId="52" xfId="0" applyFont="1" applyFill="1" applyBorder="1" applyAlignment="1">
      <alignment horizontal="center"/>
    </xf>
    <xf numFmtId="0" fontId="8" fillId="5" borderId="53" xfId="0" applyFont="1" applyFill="1" applyBorder="1" applyAlignment="1">
      <alignment horizontal="center"/>
    </xf>
    <xf numFmtId="0" fontId="8" fillId="0" borderId="30" xfId="0" applyFont="1" applyBorder="1" applyAlignment="1">
      <alignment horizontal="center"/>
    </xf>
    <xf numFmtId="0" fontId="8" fillId="0" borderId="29" xfId="0" applyFont="1" applyBorder="1" applyAlignment="1">
      <alignment horizontal="center"/>
    </xf>
    <xf numFmtId="0" fontId="8" fillId="0" borderId="36" xfId="0" applyFont="1" applyBorder="1" applyAlignment="1">
      <alignment horizontal="center"/>
    </xf>
    <xf numFmtId="0" fontId="8" fillId="0" borderId="26" xfId="0" applyFont="1" applyBorder="1" applyAlignment="1">
      <alignment horizontal="right"/>
    </xf>
    <xf numFmtId="0" fontId="8" fillId="0" borderId="26" xfId="0" applyFont="1" applyBorder="1" applyAlignment="1">
      <alignment horizontal="center"/>
    </xf>
    <xf numFmtId="0" fontId="8" fillId="0" borderId="37" xfId="0" applyFont="1" applyBorder="1" applyAlignment="1">
      <alignment horizontal="center"/>
    </xf>
    <xf numFmtId="0" fontId="8" fillId="13" borderId="47" xfId="0" applyFont="1" applyFill="1" applyBorder="1" applyAlignment="1">
      <alignment horizontal="center"/>
    </xf>
    <xf numFmtId="0" fontId="2" fillId="5" borderId="1" xfId="0" applyFont="1" applyFill="1" applyBorder="1" applyAlignment="1">
      <alignment horizontal="center" vertical="center"/>
    </xf>
    <xf numFmtId="0" fontId="0" fillId="0" borderId="0" xfId="0" applyProtection="1">
      <protection locked="0"/>
    </xf>
    <xf numFmtId="0" fontId="0" fillId="0" borderId="0" xfId="0" applyNumberFormat="1"/>
    <xf numFmtId="0" fontId="11" fillId="5" borderId="0" xfId="0" applyFont="1" applyFill="1"/>
    <xf numFmtId="0" fontId="22" fillId="5" borderId="0" xfId="0" applyFont="1" applyFill="1" applyBorder="1"/>
    <xf numFmtId="0" fontId="23" fillId="5" borderId="0" xfId="0" applyFont="1" applyFill="1"/>
    <xf numFmtId="0" fontId="5" fillId="5" borderId="0" xfId="0" applyFont="1" applyFill="1"/>
    <xf numFmtId="166" fontId="0" fillId="0" borderId="0" xfId="0" applyNumberFormat="1"/>
    <xf numFmtId="0" fontId="21" fillId="0" borderId="0" xfId="0" applyFont="1"/>
    <xf numFmtId="0" fontId="0" fillId="0" borderId="54" xfId="0" applyBorder="1"/>
    <xf numFmtId="0" fontId="0" fillId="0" borderId="55" xfId="0" applyBorder="1"/>
    <xf numFmtId="0" fontId="0" fillId="0" borderId="56" xfId="0" applyBorder="1"/>
    <xf numFmtId="0" fontId="0" fillId="0" borderId="39" xfId="0" applyBorder="1" applyAlignment="1">
      <alignment wrapText="1"/>
    </xf>
    <xf numFmtId="0" fontId="24" fillId="0" borderId="0" xfId="0" applyFont="1"/>
    <xf numFmtId="0" fontId="24" fillId="0" borderId="0" xfId="0" applyFont="1" applyAlignment="1">
      <alignment horizontal="left" vertical="center" wrapText="1" indent="1"/>
    </xf>
    <xf numFmtId="167" fontId="11" fillId="5" borderId="0" xfId="0" applyNumberFormat="1" applyFont="1" applyFill="1"/>
    <xf numFmtId="0" fontId="5" fillId="5" borderId="0" xfId="0" applyFont="1" applyFill="1" applyAlignment="1">
      <alignment horizontal="center"/>
    </xf>
    <xf numFmtId="0" fontId="5" fillId="5" borderId="0" xfId="0" applyFont="1" applyFill="1" applyAlignment="1">
      <alignment horizontal="center" wrapText="1"/>
    </xf>
    <xf numFmtId="0" fontId="25" fillId="5" borderId="0" xfId="0" applyFont="1" applyFill="1" applyAlignment="1">
      <alignment horizontal="center"/>
    </xf>
    <xf numFmtId="0" fontId="26" fillId="5" borderId="0" xfId="0" applyFont="1" applyFill="1" applyAlignment="1">
      <alignment horizontal="center" vertical="center"/>
    </xf>
    <xf numFmtId="0" fontId="18" fillId="5" borderId="1" xfId="0" applyFont="1" applyFill="1" applyBorder="1" applyAlignment="1">
      <alignment horizontal="left" vertical="center" wrapText="1"/>
    </xf>
    <xf numFmtId="0" fontId="17" fillId="5" borderId="1" xfId="0" applyFont="1" applyFill="1" applyBorder="1" applyAlignment="1">
      <alignment horizontal="center" vertical="center"/>
    </xf>
    <xf numFmtId="0" fontId="21" fillId="15" borderId="3" xfId="0" applyFont="1" applyFill="1" applyBorder="1" applyAlignment="1" applyProtection="1">
      <alignment horizontal="center" vertical="center"/>
      <protection locked="0"/>
    </xf>
    <xf numFmtId="0" fontId="21" fillId="15" borderId="15" xfId="0" applyFont="1" applyFill="1" applyBorder="1" applyAlignment="1" applyProtection="1">
      <alignment horizontal="center" vertical="center"/>
      <protection locked="0"/>
    </xf>
    <xf numFmtId="0" fontId="21" fillId="15" borderId="2" xfId="0" applyFont="1" applyFill="1" applyBorder="1" applyAlignment="1" applyProtection="1">
      <alignment horizontal="center" vertical="center"/>
      <protection locked="0"/>
    </xf>
    <xf numFmtId="0" fontId="0" fillId="10" borderId="19" xfId="0" applyFill="1" applyBorder="1" applyAlignment="1" applyProtection="1">
      <alignment horizontal="center"/>
      <protection locked="0"/>
    </xf>
    <xf numFmtId="0" fontId="0" fillId="5" borderId="19" xfId="0" applyFill="1" applyBorder="1" applyAlignment="1">
      <alignment horizontal="center"/>
    </xf>
    <xf numFmtId="0" fontId="4" fillId="11" borderId="32" xfId="0" applyFont="1" applyFill="1" applyBorder="1" applyAlignment="1">
      <alignment horizontal="center"/>
    </xf>
    <xf numFmtId="0" fontId="0" fillId="5" borderId="0" xfId="0" applyFill="1" applyBorder="1" applyAlignment="1">
      <alignment horizontal="center"/>
    </xf>
    <xf numFmtId="0" fontId="19" fillId="5" borderId="4" xfId="0" applyFont="1" applyFill="1" applyBorder="1" applyAlignment="1">
      <alignment horizontal="center"/>
    </xf>
    <xf numFmtId="0" fontId="19" fillId="5" borderId="5" xfId="0" applyFont="1" applyFill="1" applyBorder="1" applyAlignment="1">
      <alignment horizontal="center"/>
    </xf>
    <xf numFmtId="0" fontId="19" fillId="5" borderId="6" xfId="0" applyFont="1" applyFill="1" applyBorder="1" applyAlignment="1">
      <alignment horizontal="center"/>
    </xf>
    <xf numFmtId="0" fontId="0" fillId="12" borderId="0" xfId="0" applyFill="1" applyAlignment="1">
      <alignment horizontal="center"/>
    </xf>
    <xf numFmtId="0" fontId="0" fillId="0" borderId="19" xfId="0" applyBorder="1" applyAlignment="1">
      <alignment horizontal="center"/>
    </xf>
    <xf numFmtId="49" fontId="7" fillId="0" borderId="7" xfId="0" applyNumberFormat="1" applyFont="1" applyBorder="1" applyAlignment="1">
      <alignment horizontal="center" vertical="center"/>
    </xf>
    <xf numFmtId="49" fontId="7" fillId="0" borderId="8" xfId="0" applyNumberFormat="1" applyFont="1" applyBorder="1" applyAlignment="1">
      <alignment horizontal="center" vertical="center"/>
    </xf>
    <xf numFmtId="49" fontId="7" fillId="0" borderId="9" xfId="0" applyNumberFormat="1" applyFont="1" applyBorder="1" applyAlignment="1">
      <alignment horizontal="center" vertical="center"/>
    </xf>
    <xf numFmtId="49" fontId="7" fillId="0" borderId="12" xfId="0" applyNumberFormat="1" applyFont="1" applyBorder="1" applyAlignment="1">
      <alignment horizontal="center" vertical="center"/>
    </xf>
    <xf numFmtId="49" fontId="7" fillId="0" borderId="13" xfId="0" applyNumberFormat="1" applyFont="1" applyBorder="1" applyAlignment="1">
      <alignment horizontal="center" vertical="center"/>
    </xf>
    <xf numFmtId="49" fontId="7" fillId="0" borderId="14" xfId="0" applyNumberFormat="1" applyFont="1" applyBorder="1" applyAlignment="1">
      <alignment horizontal="center" vertical="center"/>
    </xf>
    <xf numFmtId="0" fontId="3" fillId="2" borderId="30" xfId="0" applyFont="1" applyFill="1" applyBorder="1" applyAlignment="1" applyProtection="1">
      <alignment horizontal="center" vertical="center"/>
      <protection locked="0"/>
    </xf>
    <xf numFmtId="0" fontId="3" fillId="2" borderId="1" xfId="0" applyFont="1" applyFill="1" applyBorder="1" applyAlignment="1" applyProtection="1">
      <alignment horizontal="center" vertical="center"/>
      <protection locked="0"/>
    </xf>
    <xf numFmtId="0" fontId="3" fillId="2" borderId="33" xfId="0" applyFont="1" applyFill="1" applyBorder="1" applyAlignment="1" applyProtection="1">
      <alignment horizontal="center" vertical="center"/>
      <protection locked="0"/>
    </xf>
    <xf numFmtId="0" fontId="3" fillId="2" borderId="16" xfId="0" applyFont="1" applyFill="1" applyBorder="1" applyAlignment="1" applyProtection="1">
      <alignment horizontal="center" vertical="center"/>
      <protection locked="0"/>
    </xf>
    <xf numFmtId="0" fontId="3" fillId="3" borderId="1" xfId="0" applyFont="1" applyFill="1" applyBorder="1" applyAlignment="1" applyProtection="1">
      <alignment horizontal="center" vertical="center"/>
      <protection locked="0"/>
    </xf>
    <xf numFmtId="0" fontId="3" fillId="3" borderId="29" xfId="0" applyFont="1" applyFill="1" applyBorder="1" applyAlignment="1" applyProtection="1">
      <alignment horizontal="center" vertical="center"/>
      <protection locked="0"/>
    </xf>
    <xf numFmtId="0" fontId="3" fillId="3" borderId="16" xfId="0" applyFont="1" applyFill="1" applyBorder="1" applyAlignment="1" applyProtection="1">
      <alignment horizontal="center" vertical="center"/>
      <protection locked="0"/>
    </xf>
    <xf numFmtId="0" fontId="3" fillId="3" borderId="31" xfId="0" applyFont="1" applyFill="1" applyBorder="1" applyAlignment="1" applyProtection="1">
      <alignment horizontal="center" vertical="center"/>
      <protection locked="0"/>
    </xf>
    <xf numFmtId="0" fontId="0" fillId="0" borderId="3" xfId="0" applyBorder="1" applyAlignment="1">
      <alignment horizontal="center"/>
    </xf>
    <xf numFmtId="0" fontId="0" fillId="0" borderId="15" xfId="0" applyBorder="1" applyAlignment="1">
      <alignment horizontal="center"/>
    </xf>
    <xf numFmtId="0" fontId="8" fillId="5" borderId="49" xfId="0" applyFont="1" applyFill="1" applyBorder="1" applyAlignment="1">
      <alignment horizontal="right"/>
    </xf>
    <xf numFmtId="0" fontId="8" fillId="5" borderId="0" xfId="0" applyFont="1" applyFill="1" applyBorder="1" applyAlignment="1">
      <alignment horizontal="right"/>
    </xf>
    <xf numFmtId="0" fontId="8" fillId="5" borderId="11" xfId="0" applyFont="1" applyFill="1" applyBorder="1" applyAlignment="1">
      <alignment horizontal="right"/>
    </xf>
    <xf numFmtId="0" fontId="8" fillId="5" borderId="50" xfId="0" applyFont="1" applyFill="1" applyBorder="1" applyAlignment="1">
      <alignment horizontal="right"/>
    </xf>
    <xf numFmtId="0" fontId="8" fillId="5" borderId="13" xfId="0" applyFont="1" applyFill="1" applyBorder="1" applyAlignment="1">
      <alignment horizontal="right"/>
    </xf>
    <xf numFmtId="0" fontId="8" fillId="5" borderId="14" xfId="0" applyFont="1" applyFill="1" applyBorder="1" applyAlignment="1">
      <alignment horizontal="right"/>
    </xf>
    <xf numFmtId="0" fontId="8" fillId="13" borderId="30" xfId="0" applyFont="1" applyFill="1" applyBorder="1" applyAlignment="1">
      <alignment horizontal="center"/>
    </xf>
    <xf numFmtId="0" fontId="8" fillId="13" borderId="1" xfId="0" applyFont="1" applyFill="1" applyBorder="1" applyAlignment="1">
      <alignment horizontal="center"/>
    </xf>
    <xf numFmtId="0" fontId="8" fillId="13" borderId="46" xfId="0" applyFont="1" applyFill="1" applyBorder="1" applyAlignment="1">
      <alignment horizontal="center"/>
    </xf>
    <xf numFmtId="0" fontId="8" fillId="13" borderId="47" xfId="0" applyFont="1" applyFill="1" applyBorder="1" applyAlignment="1">
      <alignment horizontal="center"/>
    </xf>
    <xf numFmtId="0" fontId="0" fillId="13" borderId="3" xfId="0" applyFill="1" applyBorder="1" applyAlignment="1">
      <alignment horizontal="center"/>
    </xf>
    <xf numFmtId="0" fontId="0" fillId="13" borderId="15" xfId="0" applyFill="1" applyBorder="1" applyAlignment="1">
      <alignment horizontal="center"/>
    </xf>
    <xf numFmtId="0" fontId="0" fillId="13" borderId="2" xfId="0" applyFill="1" applyBorder="1" applyAlignment="1">
      <alignment horizontal="center"/>
    </xf>
    <xf numFmtId="0" fontId="20" fillId="13" borderId="34" xfId="0" applyFont="1" applyFill="1" applyBorder="1" applyAlignment="1">
      <alignment horizontal="center"/>
    </xf>
    <xf numFmtId="0" fontId="20" fillId="13" borderId="21" xfId="0" applyFont="1" applyFill="1" applyBorder="1" applyAlignment="1">
      <alignment horizontal="center"/>
    </xf>
    <xf numFmtId="0" fontId="20" fillId="13" borderId="35" xfId="0" applyFont="1" applyFill="1" applyBorder="1" applyAlignment="1">
      <alignment horizontal="center"/>
    </xf>
    <xf numFmtId="0" fontId="0" fillId="5" borderId="30" xfId="0" applyFill="1" applyBorder="1" applyAlignment="1">
      <alignment horizontal="center"/>
    </xf>
    <xf numFmtId="0" fontId="0" fillId="5" borderId="1" xfId="0" applyFill="1" applyBorder="1" applyAlignment="1">
      <alignment horizontal="center"/>
    </xf>
    <xf numFmtId="0" fontId="0" fillId="5" borderId="29" xfId="0" applyFill="1" applyBorder="1" applyAlignment="1">
      <alignment horizontal="center"/>
    </xf>
    <xf numFmtId="0" fontId="15" fillId="5" borderId="30" xfId="0" applyFont="1" applyFill="1" applyBorder="1" applyAlignment="1">
      <alignment horizontal="right"/>
    </xf>
    <xf numFmtId="0" fontId="15" fillId="5" borderId="1" xfId="0" applyFont="1" applyFill="1" applyBorder="1" applyAlignment="1">
      <alignment horizontal="right"/>
    </xf>
    <xf numFmtId="0" fontId="8" fillId="13" borderId="48" xfId="0" applyFont="1" applyFill="1" applyBorder="1" applyAlignment="1">
      <alignment horizontal="center"/>
    </xf>
    <xf numFmtId="165" fontId="16" fillId="5" borderId="10" xfId="1" applyNumberFormat="1" applyFont="1" applyFill="1" applyBorder="1" applyAlignment="1">
      <alignment horizontal="center" vertical="center"/>
    </xf>
    <xf numFmtId="165" fontId="16" fillId="5" borderId="24" xfId="1" applyNumberFormat="1" applyFont="1" applyFill="1" applyBorder="1" applyAlignment="1">
      <alignment horizontal="center" vertical="center"/>
    </xf>
    <xf numFmtId="165" fontId="16" fillId="5" borderId="12" xfId="1" applyNumberFormat="1" applyFont="1" applyFill="1" applyBorder="1" applyAlignment="1">
      <alignment horizontal="center" vertical="center"/>
    </xf>
    <xf numFmtId="165" fontId="16" fillId="5" borderId="51" xfId="1" applyNumberFormat="1" applyFont="1" applyFill="1" applyBorder="1" applyAlignment="1">
      <alignment horizontal="center" vertical="center"/>
    </xf>
    <xf numFmtId="165" fontId="15" fillId="5" borderId="1" xfId="1" applyNumberFormat="1" applyFont="1" applyFill="1" applyBorder="1" applyAlignment="1">
      <alignment horizontal="center" vertical="center"/>
    </xf>
    <xf numFmtId="165" fontId="15" fillId="5" borderId="29" xfId="1" applyNumberFormat="1" applyFont="1" applyFill="1" applyBorder="1" applyAlignment="1">
      <alignment horizontal="center" vertical="center"/>
    </xf>
    <xf numFmtId="0" fontId="8" fillId="13" borderId="29" xfId="0" applyFont="1" applyFill="1" applyBorder="1" applyAlignment="1">
      <alignment horizontal="center"/>
    </xf>
    <xf numFmtId="0" fontId="5" fillId="13" borderId="1" xfId="0" applyFont="1" applyFill="1" applyBorder="1" applyAlignment="1">
      <alignment horizontal="center"/>
    </xf>
    <xf numFmtId="0" fontId="2" fillId="5" borderId="1" xfId="0" applyFont="1" applyFill="1" applyBorder="1" applyAlignment="1">
      <alignment horizontal="center" vertical="center"/>
    </xf>
  </cellXfs>
  <cellStyles count="2">
    <cellStyle name="Currency" xfId="1" builtinId="4"/>
    <cellStyle name="Normal" xfId="0" builtinId="0"/>
  </cellStyles>
  <dxfs count="21">
    <dxf>
      <font>
        <b/>
        <i val="0"/>
        <color theme="0"/>
      </font>
      <fill>
        <patternFill>
          <bgColor theme="3" tint="-0.24994659260841701"/>
        </patternFill>
      </fill>
    </dxf>
    <dxf>
      <font>
        <b/>
        <i val="0"/>
        <color theme="0"/>
      </font>
      <fill>
        <patternFill>
          <bgColor rgb="FFC00000"/>
        </patternFill>
      </fill>
    </dxf>
    <dxf>
      <font>
        <color rgb="FF002060"/>
      </font>
      <fill>
        <patternFill patternType="none">
          <bgColor auto="1"/>
        </patternFill>
      </fill>
    </dxf>
    <dxf>
      <font>
        <color rgb="FF9C0006"/>
      </font>
      <fill>
        <patternFill patternType="none">
          <bgColor auto="1"/>
        </patternFill>
      </fill>
    </dxf>
    <dxf>
      <font>
        <b/>
        <i val="0"/>
        <color theme="0"/>
      </font>
      <fill>
        <patternFill>
          <bgColor theme="3" tint="-0.24994659260841701"/>
        </patternFill>
      </fill>
    </dxf>
    <dxf>
      <font>
        <b/>
        <i val="0"/>
        <color theme="0"/>
      </font>
      <fill>
        <patternFill>
          <bgColor rgb="FFC00000"/>
        </patternFill>
      </fill>
    </dxf>
    <dxf>
      <font>
        <b/>
        <i val="0"/>
        <color theme="0"/>
      </font>
      <fill>
        <patternFill>
          <bgColor theme="3" tint="-0.24994659260841701"/>
        </patternFill>
      </fill>
    </dxf>
    <dxf>
      <font>
        <b/>
        <i val="0"/>
        <color theme="0"/>
      </font>
      <fill>
        <patternFill>
          <bgColor rgb="FFC00000"/>
        </patternFill>
      </fill>
    </dxf>
    <dxf>
      <font>
        <b/>
        <i val="0"/>
        <color theme="0"/>
      </font>
      <fill>
        <patternFill>
          <bgColor theme="3" tint="-0.24994659260841701"/>
        </patternFill>
      </fill>
    </dxf>
    <dxf>
      <font>
        <b/>
        <i val="0"/>
        <color theme="0"/>
      </font>
      <fill>
        <patternFill>
          <bgColor rgb="FFC00000"/>
        </patternFill>
      </fill>
    </dxf>
    <dxf>
      <font>
        <color theme="0"/>
      </font>
      <fill>
        <patternFill>
          <bgColor theme="4" tint="-0.499984740745262"/>
        </patternFill>
      </fill>
    </dxf>
    <dxf>
      <font>
        <color theme="0"/>
      </font>
      <fill>
        <patternFill>
          <bgColor rgb="FFC00000"/>
        </patternFill>
      </fill>
    </dxf>
    <dxf>
      <font>
        <color theme="0"/>
      </font>
    </dxf>
    <dxf>
      <font>
        <color theme="0"/>
      </font>
      <fill>
        <patternFill>
          <bgColor theme="4" tint="-0.499984740745262"/>
        </patternFill>
      </fill>
    </dxf>
    <dxf>
      <font>
        <color theme="0"/>
      </font>
      <fill>
        <patternFill>
          <bgColor rgb="FFC00000"/>
        </patternFill>
      </fill>
    </dxf>
    <dxf>
      <font>
        <color theme="0"/>
      </font>
    </dxf>
    <dxf>
      <font>
        <b/>
        <i val="0"/>
        <color theme="0"/>
      </font>
      <fill>
        <patternFill>
          <bgColor theme="3" tint="-0.24994659260841701"/>
        </patternFill>
      </fill>
    </dxf>
    <dxf>
      <font>
        <b/>
        <i val="0"/>
        <color theme="0"/>
      </font>
      <fill>
        <patternFill>
          <bgColor rgb="FFC0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FF66"/>
      <color rgb="FFFF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823599856800958E-2"/>
          <c:y val="2.6200875000445434E-2"/>
          <c:w val="0.94392657959631676"/>
          <c:h val="0.94759824999910913"/>
        </c:manualLayout>
      </c:layout>
      <c:barChart>
        <c:barDir val="col"/>
        <c:grouping val="clustered"/>
        <c:varyColors val="0"/>
        <c:ser>
          <c:idx val="0"/>
          <c:order val="1"/>
          <c:tx>
            <c:v>OverPnL1</c:v>
          </c:tx>
          <c:spPr>
            <a:solidFill>
              <a:srgbClr val="00B050"/>
            </a:solidFill>
            <a:ln>
              <a:noFill/>
            </a:ln>
            <a:effectLst/>
          </c:spPr>
          <c:invertIfNegative val="1"/>
          <c:val>
            <c:numRef>
              <c:f>Report!$I$3:$I$122</c:f>
              <c:numCache>
                <c:formatCode>General</c:formatCode>
                <c:ptCount val="120"/>
                <c:pt idx="0">
                  <c:v>0</c:v>
                </c:pt>
                <c:pt idx="1">
                  <c:v>0</c:v>
                </c:pt>
                <c:pt idx="2">
                  <c:v>-22</c:v>
                </c:pt>
                <c:pt idx="3">
                  <c:v>-33</c:v>
                </c:pt>
                <c:pt idx="4">
                  <c:v>-11</c:v>
                </c:pt>
                <c:pt idx="5">
                  <c:v>-11</c:v>
                </c:pt>
                <c:pt idx="12">
                  <c:v>0</c:v>
                </c:pt>
                <c:pt idx="13">
                  <c:v>0</c:v>
                </c:pt>
                <c:pt idx="14">
                  <c:v>0</c:v>
                </c:pt>
                <c:pt idx="15">
                  <c:v>0</c:v>
                </c:pt>
                <c:pt idx="16">
                  <c:v>0</c:v>
                </c:pt>
                <c:pt idx="17">
                  <c:v>0</c:v>
                </c:pt>
                <c:pt idx="24">
                  <c:v>0</c:v>
                </c:pt>
                <c:pt idx="25">
                  <c:v>0</c:v>
                </c:pt>
                <c:pt idx="26">
                  <c:v>0</c:v>
                </c:pt>
                <c:pt idx="27">
                  <c:v>0</c:v>
                </c:pt>
                <c:pt idx="28">
                  <c:v>0</c:v>
                </c:pt>
                <c:pt idx="29">
                  <c:v>0</c:v>
                </c:pt>
                <c:pt idx="36">
                  <c:v>0</c:v>
                </c:pt>
                <c:pt idx="37">
                  <c:v>0</c:v>
                </c:pt>
                <c:pt idx="38">
                  <c:v>0</c:v>
                </c:pt>
                <c:pt idx="39">
                  <c:v>0</c:v>
                </c:pt>
                <c:pt idx="40">
                  <c:v>0</c:v>
                </c:pt>
                <c:pt idx="41">
                  <c:v>0</c:v>
                </c:pt>
                <c:pt idx="48">
                  <c:v>0</c:v>
                </c:pt>
                <c:pt idx="49">
                  <c:v>0</c:v>
                </c:pt>
                <c:pt idx="50">
                  <c:v>0</c:v>
                </c:pt>
                <c:pt idx="51">
                  <c:v>0</c:v>
                </c:pt>
                <c:pt idx="52">
                  <c:v>0</c:v>
                </c:pt>
                <c:pt idx="53">
                  <c:v>0</c:v>
                </c:pt>
                <c:pt idx="60">
                  <c:v>0</c:v>
                </c:pt>
                <c:pt idx="61">
                  <c:v>0</c:v>
                </c:pt>
                <c:pt idx="62">
                  <c:v>0</c:v>
                </c:pt>
                <c:pt idx="63">
                  <c:v>0</c:v>
                </c:pt>
                <c:pt idx="64">
                  <c:v>0</c:v>
                </c:pt>
                <c:pt idx="65">
                  <c:v>0</c:v>
                </c:pt>
                <c:pt idx="72">
                  <c:v>0</c:v>
                </c:pt>
                <c:pt idx="73">
                  <c:v>0</c:v>
                </c:pt>
                <c:pt idx="74">
                  <c:v>0</c:v>
                </c:pt>
                <c:pt idx="75">
                  <c:v>0</c:v>
                </c:pt>
                <c:pt idx="76">
                  <c:v>0</c:v>
                </c:pt>
                <c:pt idx="77">
                  <c:v>0</c:v>
                </c:pt>
                <c:pt idx="84">
                  <c:v>0</c:v>
                </c:pt>
                <c:pt idx="85">
                  <c:v>0</c:v>
                </c:pt>
                <c:pt idx="86">
                  <c:v>0</c:v>
                </c:pt>
                <c:pt idx="87">
                  <c:v>0</c:v>
                </c:pt>
                <c:pt idx="88">
                  <c:v>0</c:v>
                </c:pt>
                <c:pt idx="89">
                  <c:v>0</c:v>
                </c:pt>
                <c:pt idx="96">
                  <c:v>0</c:v>
                </c:pt>
                <c:pt idx="97">
                  <c:v>0</c:v>
                </c:pt>
                <c:pt idx="98">
                  <c:v>0</c:v>
                </c:pt>
                <c:pt idx="99">
                  <c:v>0</c:v>
                </c:pt>
                <c:pt idx="100">
                  <c:v>0</c:v>
                </c:pt>
                <c:pt idx="101">
                  <c:v>0</c:v>
                </c:pt>
                <c:pt idx="108">
                  <c:v>0</c:v>
                </c:pt>
                <c:pt idx="109">
                  <c:v>0</c:v>
                </c:pt>
                <c:pt idx="110">
                  <c:v>0</c:v>
                </c:pt>
                <c:pt idx="111">
                  <c:v>0</c:v>
                </c:pt>
                <c:pt idx="112">
                  <c:v>0</c:v>
                </c:pt>
                <c:pt idx="113">
                  <c:v>0</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7EE6-49C5-AC1D-B95740C65D02}"/>
            </c:ext>
          </c:extLst>
        </c:ser>
        <c:ser>
          <c:idx val="1"/>
          <c:order val="2"/>
          <c:tx>
            <c:v>OverPnL2</c:v>
          </c:tx>
          <c:spPr>
            <a:solidFill>
              <a:srgbClr val="00B050"/>
            </a:solidFill>
            <a:ln>
              <a:noFill/>
            </a:ln>
            <a:effectLst/>
          </c:spPr>
          <c:invertIfNegative val="1"/>
          <c:val>
            <c:numRef>
              <c:f>Report!$J$3:$J$122</c:f>
              <c:numCache>
                <c:formatCode>General</c:formatCode>
                <c:ptCount val="120"/>
                <c:pt idx="6">
                  <c:v>-11</c:v>
                </c:pt>
                <c:pt idx="7">
                  <c:v>11</c:v>
                </c:pt>
                <c:pt idx="8">
                  <c:v>44</c:v>
                </c:pt>
                <c:pt idx="9">
                  <c:v>55</c:v>
                </c:pt>
                <c:pt idx="10">
                  <c:v>55</c:v>
                </c:pt>
                <c:pt idx="11">
                  <c:v>55</c:v>
                </c:pt>
                <c:pt idx="18">
                  <c:v>0</c:v>
                </c:pt>
                <c:pt idx="19">
                  <c:v>0</c:v>
                </c:pt>
                <c:pt idx="20">
                  <c:v>0</c:v>
                </c:pt>
                <c:pt idx="21">
                  <c:v>0</c:v>
                </c:pt>
                <c:pt idx="22">
                  <c:v>0</c:v>
                </c:pt>
                <c:pt idx="23">
                  <c:v>0</c:v>
                </c:pt>
                <c:pt idx="30">
                  <c:v>0</c:v>
                </c:pt>
                <c:pt idx="31">
                  <c:v>-88</c:v>
                </c:pt>
                <c:pt idx="32">
                  <c:v>-88</c:v>
                </c:pt>
                <c:pt idx="33">
                  <c:v>-88</c:v>
                </c:pt>
                <c:pt idx="34">
                  <c:v>-88</c:v>
                </c:pt>
                <c:pt idx="35">
                  <c:v>-88</c:v>
                </c:pt>
                <c:pt idx="42">
                  <c:v>0</c:v>
                </c:pt>
                <c:pt idx="43">
                  <c:v>0</c:v>
                </c:pt>
                <c:pt idx="44">
                  <c:v>0</c:v>
                </c:pt>
                <c:pt idx="45">
                  <c:v>44</c:v>
                </c:pt>
                <c:pt idx="46">
                  <c:v>44</c:v>
                </c:pt>
                <c:pt idx="47">
                  <c:v>44</c:v>
                </c:pt>
                <c:pt idx="54">
                  <c:v>0</c:v>
                </c:pt>
                <c:pt idx="55">
                  <c:v>0</c:v>
                </c:pt>
                <c:pt idx="56">
                  <c:v>0</c:v>
                </c:pt>
                <c:pt idx="57">
                  <c:v>0</c:v>
                </c:pt>
                <c:pt idx="58">
                  <c:v>0</c:v>
                </c:pt>
                <c:pt idx="59">
                  <c:v>0</c:v>
                </c:pt>
                <c:pt idx="66">
                  <c:v>0</c:v>
                </c:pt>
                <c:pt idx="67">
                  <c:v>0</c:v>
                </c:pt>
                <c:pt idx="68">
                  <c:v>0</c:v>
                </c:pt>
                <c:pt idx="69">
                  <c:v>0</c:v>
                </c:pt>
                <c:pt idx="70">
                  <c:v>0</c:v>
                </c:pt>
                <c:pt idx="71">
                  <c:v>0</c:v>
                </c:pt>
                <c:pt idx="78">
                  <c:v>0</c:v>
                </c:pt>
                <c:pt idx="79">
                  <c:v>0</c:v>
                </c:pt>
                <c:pt idx="80">
                  <c:v>0</c:v>
                </c:pt>
                <c:pt idx="81">
                  <c:v>0</c:v>
                </c:pt>
                <c:pt idx="82">
                  <c:v>0</c:v>
                </c:pt>
                <c:pt idx="83">
                  <c:v>0</c:v>
                </c:pt>
                <c:pt idx="90">
                  <c:v>0</c:v>
                </c:pt>
                <c:pt idx="91">
                  <c:v>0</c:v>
                </c:pt>
                <c:pt idx="92">
                  <c:v>0</c:v>
                </c:pt>
                <c:pt idx="93">
                  <c:v>0</c:v>
                </c:pt>
                <c:pt idx="94">
                  <c:v>0</c:v>
                </c:pt>
                <c:pt idx="95">
                  <c:v>0</c:v>
                </c:pt>
                <c:pt idx="102">
                  <c:v>0</c:v>
                </c:pt>
                <c:pt idx="103">
                  <c:v>0</c:v>
                </c:pt>
                <c:pt idx="104">
                  <c:v>0</c:v>
                </c:pt>
                <c:pt idx="105">
                  <c:v>0</c:v>
                </c:pt>
                <c:pt idx="106">
                  <c:v>0</c:v>
                </c:pt>
                <c:pt idx="107">
                  <c:v>0</c:v>
                </c:pt>
                <c:pt idx="114">
                  <c:v>0</c:v>
                </c:pt>
                <c:pt idx="115">
                  <c:v>0</c:v>
                </c:pt>
                <c:pt idx="116">
                  <c:v>0</c:v>
                </c:pt>
                <c:pt idx="117">
                  <c:v>0</c:v>
                </c:pt>
                <c:pt idx="118">
                  <c:v>0</c:v>
                </c:pt>
                <c:pt idx="119">
                  <c:v>0</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1-7EE6-49C5-AC1D-B95740C65D02}"/>
            </c:ext>
          </c:extLst>
        </c:ser>
        <c:dLbls>
          <c:showLegendKey val="0"/>
          <c:showVal val="0"/>
          <c:showCatName val="0"/>
          <c:showSerName val="0"/>
          <c:showPercent val="0"/>
          <c:showBubbleSize val="0"/>
        </c:dLbls>
        <c:gapWidth val="0"/>
        <c:overlap val="100"/>
        <c:axId val="503883400"/>
        <c:axId val="503879792"/>
      </c:barChart>
      <c:lineChart>
        <c:grouping val="standard"/>
        <c:varyColors val="0"/>
        <c:ser>
          <c:idx val="5"/>
          <c:order val="0"/>
          <c:tx>
            <c:strRef>
              <c:f>Report!$F$1</c:f>
              <c:strCache>
                <c:ptCount val="1"/>
                <c:pt idx="0">
                  <c:v>Final PnL</c:v>
                </c:pt>
              </c:strCache>
            </c:strRef>
          </c:tx>
          <c:spPr>
            <a:ln w="28575" cap="rnd">
              <a:solidFill>
                <a:schemeClr val="accent6"/>
              </a:solidFill>
              <a:round/>
            </a:ln>
            <a:effectLst/>
          </c:spPr>
          <c:marker>
            <c:symbol val="none"/>
          </c:marker>
          <c:val>
            <c:numRef>
              <c:f>Report!$F$2:$F$122</c:f>
              <c:numCache>
                <c:formatCode>General</c:formatCode>
                <c:ptCount val="1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-82</c:v>
                </c:pt>
                <c:pt idx="33">
                  <c:v>-92</c:v>
                </c:pt>
                <c:pt idx="34">
                  <c:v>-92</c:v>
                </c:pt>
                <c:pt idx="35">
                  <c:v>-92</c:v>
                </c:pt>
                <c:pt idx="36">
                  <c:v>-90</c:v>
                </c:pt>
                <c:pt idx="37">
                  <c:v>-80</c:v>
                </c:pt>
                <c:pt idx="38">
                  <c:v>-78</c:v>
                </c:pt>
                <c:pt idx="39">
                  <c:v>-70</c:v>
                </c:pt>
                <c:pt idx="40">
                  <c:v>-70</c:v>
                </c:pt>
                <c:pt idx="41">
                  <c:v>-64</c:v>
                </c:pt>
                <c:pt idx="42">
                  <c:v>-64</c:v>
                </c:pt>
                <c:pt idx="43">
                  <c:v>-70</c:v>
                </c:pt>
                <c:pt idx="44">
                  <c:v>-70</c:v>
                </c:pt>
                <c:pt idx="45">
                  <c:v>-70</c:v>
                </c:pt>
              </c:numCache>
            </c:numRef>
          </c:val>
          <c:smooth val="0"/>
          <c:extLst>
            <c:ext xmlns:c16="http://schemas.microsoft.com/office/drawing/2014/chart" uri="{C3380CC4-5D6E-409C-BE32-E72D297353CC}">
              <c16:uniqueId val="{00000005-3593-4CF6-AF59-BA0F2B0C2DCB}"/>
            </c:ext>
          </c:extLst>
        </c:ser>
        <c:ser>
          <c:idx val="2"/>
          <c:order val="3"/>
          <c:tx>
            <c:v>Net Over PnL</c:v>
          </c:tx>
          <c:spPr>
            <a:ln w="28575" cap="rnd">
              <a:solidFill>
                <a:schemeClr val="accent3"/>
              </a:solidFill>
              <a:round/>
            </a:ln>
            <a:effectLst/>
          </c:spPr>
          <c:marker>
            <c:symbol val="none"/>
          </c:marker>
          <c:val>
            <c:numRef>
              <c:f>Report!$G$3:$G$122</c:f>
              <c:numCache>
                <c:formatCode>General</c:formatCode>
                <c:ptCount val="120"/>
                <c:pt idx="0">
                  <c:v>0</c:v>
                </c:pt>
                <c:pt idx="1">
                  <c:v>0</c:v>
                </c:pt>
                <c:pt idx="2">
                  <c:v>-22</c:v>
                </c:pt>
                <c:pt idx="3">
                  <c:v>-33</c:v>
                </c:pt>
                <c:pt idx="4">
                  <c:v>-11</c:v>
                </c:pt>
                <c:pt idx="5">
                  <c:v>-11</c:v>
                </c:pt>
                <c:pt idx="6">
                  <c:v>-22</c:v>
                </c:pt>
                <c:pt idx="7">
                  <c:v>0</c:v>
                </c:pt>
                <c:pt idx="8">
                  <c:v>33</c:v>
                </c:pt>
                <c:pt idx="9">
                  <c:v>44</c:v>
                </c:pt>
                <c:pt idx="10">
                  <c:v>44</c:v>
                </c:pt>
                <c:pt idx="11">
                  <c:v>44</c:v>
                </c:pt>
                <c:pt idx="12">
                  <c:v>44</c:v>
                </c:pt>
                <c:pt idx="13">
                  <c:v>44</c:v>
                </c:pt>
                <c:pt idx="14">
                  <c:v>44</c:v>
                </c:pt>
                <c:pt idx="15">
                  <c:v>44</c:v>
                </c:pt>
                <c:pt idx="16">
                  <c:v>44</c:v>
                </c:pt>
                <c:pt idx="17">
                  <c:v>44</c:v>
                </c:pt>
                <c:pt idx="18">
                  <c:v>44</c:v>
                </c:pt>
                <c:pt idx="19">
                  <c:v>44</c:v>
                </c:pt>
                <c:pt idx="20">
                  <c:v>44</c:v>
                </c:pt>
                <c:pt idx="21">
                  <c:v>44</c:v>
                </c:pt>
                <c:pt idx="22">
                  <c:v>44</c:v>
                </c:pt>
                <c:pt idx="23">
                  <c:v>44</c:v>
                </c:pt>
                <c:pt idx="24">
                  <c:v>44</c:v>
                </c:pt>
                <c:pt idx="25">
                  <c:v>44</c:v>
                </c:pt>
                <c:pt idx="26">
                  <c:v>44</c:v>
                </c:pt>
                <c:pt idx="27">
                  <c:v>44</c:v>
                </c:pt>
                <c:pt idx="28">
                  <c:v>44</c:v>
                </c:pt>
                <c:pt idx="29">
                  <c:v>44</c:v>
                </c:pt>
                <c:pt idx="30">
                  <c:v>44</c:v>
                </c:pt>
                <c:pt idx="31">
                  <c:v>-44</c:v>
                </c:pt>
                <c:pt idx="32">
                  <c:v>-44</c:v>
                </c:pt>
                <c:pt idx="33">
                  <c:v>-44</c:v>
                </c:pt>
                <c:pt idx="34">
                  <c:v>-44</c:v>
                </c:pt>
                <c:pt idx="35">
                  <c:v>-44</c:v>
                </c:pt>
                <c:pt idx="36">
                  <c:v>-44</c:v>
                </c:pt>
                <c:pt idx="37">
                  <c:v>-44</c:v>
                </c:pt>
                <c:pt idx="38">
                  <c:v>-44</c:v>
                </c:pt>
                <c:pt idx="39">
                  <c:v>-44</c:v>
                </c:pt>
                <c:pt idx="40">
                  <c:v>-44</c:v>
                </c:pt>
                <c:pt idx="41">
                  <c:v>-44</c:v>
                </c:pt>
                <c:pt idx="42">
                  <c:v>-44</c:v>
                </c:pt>
                <c:pt idx="43">
                  <c:v>-44</c:v>
                </c:pt>
                <c:pt idx="44">
                  <c:v>-44</c:v>
                </c:pt>
              </c:numCache>
            </c:numRef>
          </c:val>
          <c:smooth val="0"/>
          <c:extLst>
            <c:ext xmlns:c16="http://schemas.microsoft.com/office/drawing/2014/chart" uri="{C3380CC4-5D6E-409C-BE32-E72D297353CC}">
              <c16:uniqueId val="{00000001-A25E-48FA-B8E1-DADDB89FECDE}"/>
            </c:ext>
          </c:extLst>
        </c:ser>
        <c:dLbls>
          <c:showLegendKey val="0"/>
          <c:showVal val="0"/>
          <c:showCatName val="0"/>
          <c:showSerName val="0"/>
          <c:showPercent val="0"/>
          <c:showBubbleSize val="0"/>
        </c:dLbls>
        <c:marker val="1"/>
        <c:smooth val="0"/>
        <c:axId val="503883400"/>
        <c:axId val="503879792"/>
      </c:lineChart>
      <c:catAx>
        <c:axId val="503883400"/>
        <c:scaling>
          <c:orientation val="minMax"/>
        </c:scaling>
        <c:delete val="1"/>
        <c:axPos val="b"/>
        <c:majorGridlines>
          <c:spPr>
            <a:ln w="9525" cap="flat" cmpd="sng" algn="ctr">
              <a:solidFill>
                <a:schemeClr val="bg1">
                  <a:lumMod val="65000"/>
                </a:schemeClr>
              </a:solidFill>
              <a:round/>
            </a:ln>
            <a:effectLst/>
          </c:spPr>
        </c:majorGridlines>
        <c:numFmt formatCode="General" sourceLinked="1"/>
        <c:majorTickMark val="out"/>
        <c:minorTickMark val="none"/>
        <c:tickLblPos val="nextTo"/>
        <c:crossAx val="503879792"/>
        <c:crosses val="autoZero"/>
        <c:auto val="1"/>
        <c:lblAlgn val="ctr"/>
        <c:lblOffset val="100"/>
        <c:tickLblSkip val="6"/>
        <c:tickMarkSkip val="6"/>
        <c:noMultiLvlLbl val="0"/>
      </c:catAx>
      <c:valAx>
        <c:axId val="5038797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834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517101138400395E-2"/>
          <c:y val="5.8098575441228942E-2"/>
          <c:w val="0.92702520592879933"/>
          <c:h val="0.79085950601179744"/>
        </c:manualLayout>
      </c:layout>
      <c:barChart>
        <c:barDir val="col"/>
        <c:grouping val="clustered"/>
        <c:varyColors val="0"/>
        <c:ser>
          <c:idx val="2"/>
          <c:order val="0"/>
          <c:tx>
            <c:strRef>
              <c:f>Report!$C$1</c:f>
              <c:strCache>
                <c:ptCount val="1"/>
                <c:pt idx="0">
                  <c:v>Response Time</c:v>
                </c:pt>
              </c:strCache>
            </c:strRef>
          </c:tx>
          <c:spPr>
            <a:solidFill>
              <a:schemeClr val="accent3"/>
            </a:solidFill>
            <a:ln>
              <a:noFill/>
            </a:ln>
            <a:effectLst/>
          </c:spPr>
          <c:invertIfNegative val="0"/>
          <c:val>
            <c:numRef>
              <c:f>Report!$C$3:$C$122</c:f>
              <c:numCache>
                <c:formatCode>h:mm:ss;@</c:formatCode>
                <c:ptCount val="120"/>
                <c:pt idx="1">
                  <c:v>1.7361110803904012E-4</c:v>
                </c:pt>
                <c:pt idx="6">
                  <c:v>1.7361110803904012E-4</c:v>
                </c:pt>
                <c:pt idx="9">
                  <c:v>3.4722223062999547E-5</c:v>
                </c:pt>
                <c:pt idx="31">
                  <c:v>4.6296299842651933E-5</c:v>
                </c:pt>
              </c:numCache>
            </c:numRef>
          </c:val>
          <c:extLst>
            <c:ext xmlns:c16="http://schemas.microsoft.com/office/drawing/2014/chart" uri="{C3380CC4-5D6E-409C-BE32-E72D297353CC}">
              <c16:uniqueId val="{00000002-532E-4662-8F1F-DBFB237A6335}"/>
            </c:ext>
          </c:extLst>
        </c:ser>
        <c:dLbls>
          <c:showLegendKey val="0"/>
          <c:showVal val="0"/>
          <c:showCatName val="0"/>
          <c:showSerName val="0"/>
          <c:showPercent val="0"/>
          <c:showBubbleSize val="0"/>
        </c:dLbls>
        <c:gapWidth val="0"/>
        <c:overlap val="100"/>
        <c:axId val="867988544"/>
        <c:axId val="867989200"/>
      </c:barChart>
      <c:catAx>
        <c:axId val="867988544"/>
        <c:scaling>
          <c:orientation val="minMax"/>
        </c:scaling>
        <c:delete val="0"/>
        <c:axPos val="b"/>
        <c:majorGridlines>
          <c:spPr>
            <a:ln w="9525" cap="flat" cmpd="sng" algn="ctr">
              <a:solidFill>
                <a:schemeClr val="tx1">
                  <a:lumMod val="50000"/>
                  <a:lumOff val="50000"/>
                </a:schemeClr>
              </a:solidFill>
              <a:round/>
            </a:ln>
            <a:effectLst/>
          </c:spPr>
        </c:majorGridlines>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89200"/>
        <c:crosses val="autoZero"/>
        <c:auto val="1"/>
        <c:lblAlgn val="ctr"/>
        <c:lblOffset val="100"/>
        <c:tickLblSkip val="6"/>
        <c:tickMarkSkip val="6"/>
        <c:noMultiLvlLbl val="0"/>
      </c:catAx>
      <c:valAx>
        <c:axId val="867989200"/>
        <c:scaling>
          <c:orientation val="minMax"/>
        </c:scaling>
        <c:delete val="0"/>
        <c:axPos val="l"/>
        <c:majorGridlines>
          <c:spPr>
            <a:ln w="9525" cap="flat" cmpd="sng" algn="ctr">
              <a:solidFill>
                <a:schemeClr val="tx1">
                  <a:lumMod val="15000"/>
                  <a:lumOff val="85000"/>
                </a:schemeClr>
              </a:solidFill>
              <a:round/>
            </a:ln>
            <a:effectLst/>
          </c:spPr>
        </c:majorGridlines>
        <c:numFmt formatCode="mmss;"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8854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607530070909677E-2"/>
          <c:y val="3.9909291351539436E-2"/>
          <c:w val="0.9354923905067154"/>
          <c:h val="0.92018141729692116"/>
        </c:manualLayout>
      </c:layout>
      <c:barChart>
        <c:barDir val="col"/>
        <c:grouping val="clustered"/>
        <c:varyColors val="0"/>
        <c:ser>
          <c:idx val="0"/>
          <c:order val="0"/>
          <c:tx>
            <c:v>Runs</c:v>
          </c:tx>
          <c:spPr>
            <a:solidFill>
              <a:srgbClr val="000000">
                <a:alpha val="50196"/>
              </a:srgbClr>
            </a:solidFill>
            <a:ln>
              <a:solidFill>
                <a:schemeClr val="tx1"/>
              </a:solid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Report!$B$3:$B$122</c:f>
              <c:numCache>
                <c:formatCode>General</c:formatCode>
                <c:ptCount val="120"/>
                <c:pt idx="0">
                  <c:v>0</c:v>
                </c:pt>
                <c:pt idx="1">
                  <c:v>1</c:v>
                </c:pt>
                <c:pt idx="2">
                  <c:v>0</c:v>
                </c:pt>
                <c:pt idx="3">
                  <c:v>0</c:v>
                </c:pt>
                <c:pt idx="4">
                  <c:v>4</c:v>
                </c:pt>
                <c:pt idx="5">
                  <c:v>1</c:v>
                </c:pt>
                <c:pt idx="6">
                  <c:v>4</c:v>
                </c:pt>
                <c:pt idx="7">
                  <c:v>2</c:v>
                </c:pt>
                <c:pt idx="8">
                  <c:v>0</c:v>
                </c:pt>
                <c:pt idx="9">
                  <c:v>0</c:v>
                </c:pt>
                <c:pt idx="10">
                  <c:v>0</c:v>
                </c:pt>
                <c:pt idx="11">
                  <c:v>6</c:v>
                </c:pt>
                <c:pt idx="12">
                  <c:v>4</c:v>
                </c:pt>
                <c:pt idx="13">
                  <c:v>0</c:v>
                </c:pt>
                <c:pt idx="14">
                  <c:v>1</c:v>
                </c:pt>
                <c:pt idx="15">
                  <c:v>0</c:v>
                </c:pt>
                <c:pt idx="16">
                  <c:v>1</c:v>
                </c:pt>
                <c:pt idx="17">
                  <c:v>0</c:v>
                </c:pt>
                <c:pt idx="18">
                  <c:v>4</c:v>
                </c:pt>
                <c:pt idx="19">
                  <c:v>0</c:v>
                </c:pt>
                <c:pt idx="20">
                  <c:v>4</c:v>
                </c:pt>
                <c:pt idx="21">
                  <c:v>0</c:v>
                </c:pt>
                <c:pt idx="22">
                  <c:v>6</c:v>
                </c:pt>
                <c:pt idx="23">
                  <c:v>0</c:v>
                </c:pt>
                <c:pt idx="24">
                  <c:v>0</c:v>
                </c:pt>
                <c:pt idx="25">
                  <c:v>0</c:v>
                </c:pt>
                <c:pt idx="26">
                  <c:v>4</c:v>
                </c:pt>
                <c:pt idx="27">
                  <c:v>1</c:v>
                </c:pt>
                <c:pt idx="28">
                  <c:v>1</c:v>
                </c:pt>
                <c:pt idx="29">
                  <c:v>-2</c:v>
                </c:pt>
                <c:pt idx="30">
                  <c:v>0</c:v>
                </c:pt>
                <c:pt idx="31">
                  <c:v>0</c:v>
                </c:pt>
                <c:pt idx="32">
                  <c:v>1</c:v>
                </c:pt>
                <c:pt idx="33">
                  <c:v>1</c:v>
                </c:pt>
                <c:pt idx="34">
                  <c:v>1</c:v>
                </c:pt>
                <c:pt idx="35">
                  <c:v>4</c:v>
                </c:pt>
                <c:pt idx="36">
                  <c:v>1</c:v>
                </c:pt>
                <c:pt idx="37">
                  <c:v>-2</c:v>
                </c:pt>
                <c:pt idx="38">
                  <c:v>0</c:v>
                </c:pt>
                <c:pt idx="39">
                  <c:v>2</c:v>
                </c:pt>
                <c:pt idx="40">
                  <c:v>2</c:v>
                </c:pt>
                <c:pt idx="41">
                  <c:v>1</c:v>
                </c:pt>
                <c:pt idx="42">
                  <c:v>0</c:v>
                </c:pt>
                <c:pt idx="43">
                  <c:v>1</c:v>
                </c:pt>
                <c:pt idx="44">
                  <c:v>4</c:v>
                </c:pt>
              </c:numCache>
            </c:numRef>
          </c:val>
          <c:extLst>
            <c:ext xmlns:c14="http://schemas.microsoft.com/office/drawing/2007/8/2/chart" uri="{6F2FDCE9-48DA-4B69-8628-5D25D57E5C99}">
              <c14:invertSolidFillFmt>
                <c14:spPr xmlns:c14="http://schemas.microsoft.com/office/drawing/2007/8/2/chart">
                  <a:solidFill>
                    <a:srgbClr val="C00000"/>
                  </a:solidFill>
                  <a:ln>
                    <a:solidFill>
                      <a:schemeClr val="tx1"/>
                    </a:solidFill>
                  </a:ln>
                  <a:effectLst/>
                </c14:spPr>
              </c14:invertSolidFillFmt>
            </c:ext>
            <c:ext xmlns:c16="http://schemas.microsoft.com/office/drawing/2014/chart" uri="{C3380CC4-5D6E-409C-BE32-E72D297353CC}">
              <c16:uniqueId val="{00000005-8540-409D-9A4C-9C385F4697E1}"/>
            </c:ext>
          </c:extLst>
        </c:ser>
        <c:dLbls>
          <c:showLegendKey val="0"/>
          <c:showVal val="0"/>
          <c:showCatName val="0"/>
          <c:showSerName val="0"/>
          <c:showPercent val="0"/>
          <c:showBubbleSize val="0"/>
        </c:dLbls>
        <c:gapWidth val="0"/>
        <c:overlap val="100"/>
        <c:axId val="503883400"/>
        <c:axId val="503879792"/>
      </c:barChart>
      <c:catAx>
        <c:axId val="503883400"/>
        <c:scaling>
          <c:orientation val="minMax"/>
        </c:scaling>
        <c:delete val="1"/>
        <c:axPos val="b"/>
        <c:majorGridlines>
          <c:spPr>
            <a:ln w="9525" cap="flat" cmpd="sng" algn="ctr">
              <a:solidFill>
                <a:schemeClr val="tx1">
                  <a:lumMod val="50000"/>
                  <a:lumOff val="50000"/>
                </a:schemeClr>
              </a:solidFill>
              <a:round/>
            </a:ln>
            <a:effectLst/>
          </c:spPr>
        </c:majorGridlines>
        <c:numFmt formatCode="General" sourceLinked="1"/>
        <c:majorTickMark val="out"/>
        <c:minorTickMark val="none"/>
        <c:tickLblPos val="nextTo"/>
        <c:crossAx val="503879792"/>
        <c:crosses val="autoZero"/>
        <c:auto val="1"/>
        <c:lblAlgn val="ctr"/>
        <c:lblOffset val="100"/>
        <c:tickLblSkip val="6"/>
        <c:tickMarkSkip val="6"/>
        <c:noMultiLvlLbl val="0"/>
      </c:catAx>
      <c:valAx>
        <c:axId val="5038797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0"/>
        <c:majorTickMark val="out"/>
        <c:minorTickMark val="none"/>
        <c:tickLblPos val="low"/>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83400"/>
        <c:crossesAt val="6"/>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028350711707956E-2"/>
          <c:y val="3.9909291351539436E-2"/>
          <c:w val="0.9336433987777637"/>
          <c:h val="0.92018141729692116"/>
        </c:manualLayout>
      </c:layout>
      <c:barChart>
        <c:barDir val="col"/>
        <c:grouping val="clustered"/>
        <c:varyColors val="0"/>
        <c:ser>
          <c:idx val="3"/>
          <c:order val="0"/>
          <c:tx>
            <c:strRef>
              <c:f>Report!$D$1</c:f>
              <c:strCache>
                <c:ptCount val="1"/>
                <c:pt idx="0">
                  <c:v>Final Position</c:v>
                </c:pt>
              </c:strCache>
            </c:strRef>
          </c:tx>
          <c:spPr>
            <a:solidFill>
              <a:srgbClr val="1F497D"/>
            </a:solidFill>
            <a:ln>
              <a:noFill/>
            </a:ln>
            <a:effectLst/>
          </c:spPr>
          <c:invertIfNegative val="1"/>
          <c:val>
            <c:numRef>
              <c:f>Report!$D$3:$D$122</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2</c:v>
                </c:pt>
                <c:pt idx="32">
                  <c:v>2</c:v>
                </c:pt>
                <c:pt idx="33">
                  <c:v>2</c:v>
                </c:pt>
                <c:pt idx="34">
                  <c:v>2</c:v>
                </c:pt>
                <c:pt idx="35">
                  <c:v>2</c:v>
                </c:pt>
                <c:pt idx="36">
                  <c:v>2</c:v>
                </c:pt>
                <c:pt idx="37">
                  <c:v>2</c:v>
                </c:pt>
                <c:pt idx="38">
                  <c:v>2</c:v>
                </c:pt>
                <c:pt idx="39">
                  <c:v>2</c:v>
                </c:pt>
                <c:pt idx="40">
                  <c:v>2</c:v>
                </c:pt>
                <c:pt idx="41">
                  <c:v>2</c:v>
                </c:pt>
                <c:pt idx="42">
                  <c:v>2</c:v>
                </c:pt>
                <c:pt idx="43">
                  <c:v>2</c:v>
                </c:pt>
                <c:pt idx="44">
                  <c:v>0</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D1B7-4E9D-A631-C2AD43B918CE}"/>
            </c:ext>
          </c:extLst>
        </c:ser>
        <c:ser>
          <c:idx val="0"/>
          <c:order val="1"/>
          <c:tx>
            <c:strRef>
              <c:f>Report!$E$1</c:f>
              <c:strCache>
                <c:ptCount val="1"/>
                <c:pt idx="0">
                  <c:v>Over Position</c:v>
                </c:pt>
              </c:strCache>
            </c:strRef>
          </c:tx>
          <c:spPr>
            <a:solidFill>
              <a:srgbClr val="C6D9F1"/>
            </a:solidFill>
            <a:ln>
              <a:noFill/>
            </a:ln>
            <a:effectLst/>
          </c:spPr>
          <c:invertIfNegative val="1"/>
          <c:val>
            <c:numRef>
              <c:f>Report!$E$3:$E$122</c:f>
              <c:numCache>
                <c:formatCode>General</c:formatCode>
                <c:ptCount val="120"/>
                <c:pt idx="0">
                  <c:v>0</c:v>
                </c:pt>
                <c:pt idx="1">
                  <c:v>11</c:v>
                </c:pt>
                <c:pt idx="2">
                  <c:v>11</c:v>
                </c:pt>
                <c:pt idx="3">
                  <c:v>11</c:v>
                </c:pt>
                <c:pt idx="4">
                  <c:v>11</c:v>
                </c:pt>
                <c:pt idx="5">
                  <c:v>0</c:v>
                </c:pt>
                <c:pt idx="6">
                  <c:v>-11</c:v>
                </c:pt>
                <c:pt idx="7">
                  <c:v>-11</c:v>
                </c:pt>
                <c:pt idx="8">
                  <c:v>-11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numCache>
            </c:numRef>
          </c:val>
          <c:extLst>
            <c:ext xmlns:c14="http://schemas.microsoft.com/office/drawing/2007/8/2/chart" uri="{6F2FDCE9-48DA-4B69-8628-5D25D57E5C99}">
              <c14:invertSolidFillFmt>
                <c14:spPr xmlns:c14="http://schemas.microsoft.com/office/drawing/2007/8/2/chart">
                  <a:solidFill>
                    <a:srgbClr val="F2DCDB"/>
                  </a:solidFill>
                  <a:ln>
                    <a:noFill/>
                  </a:ln>
                  <a:effectLst/>
                </c14:spPr>
              </c14:invertSolidFillFmt>
            </c:ext>
            <c:ext xmlns:c16="http://schemas.microsoft.com/office/drawing/2014/chart" uri="{C3380CC4-5D6E-409C-BE32-E72D297353CC}">
              <c16:uniqueId val="{00000007-D1B7-4E9D-A631-C2AD43B918CE}"/>
            </c:ext>
          </c:extLst>
        </c:ser>
        <c:dLbls>
          <c:showLegendKey val="0"/>
          <c:showVal val="0"/>
          <c:showCatName val="0"/>
          <c:showSerName val="0"/>
          <c:showPercent val="0"/>
          <c:showBubbleSize val="0"/>
        </c:dLbls>
        <c:gapWidth val="0"/>
        <c:overlap val="100"/>
        <c:axId val="503883400"/>
        <c:axId val="503879792"/>
      </c:barChart>
      <c:lineChart>
        <c:grouping val="standard"/>
        <c:varyColors val="0"/>
        <c:ser>
          <c:idx val="1"/>
          <c:order val="2"/>
          <c:tx>
            <c:v>Projected Score</c:v>
          </c:tx>
          <c:spPr>
            <a:ln w="28575" cap="rnd">
              <a:solidFill>
                <a:schemeClr val="accent2"/>
              </a:solidFill>
              <a:round/>
            </a:ln>
            <a:effectLst/>
          </c:spPr>
          <c:marker>
            <c:symbol val="none"/>
          </c:marker>
          <c:val>
            <c:numRef>
              <c:f>Data!$BN$2:$BN$121</c:f>
              <c:numCache>
                <c:formatCode>General</c:formatCode>
                <c:ptCount val="120"/>
                <c:pt idx="0">
                  <c:v>169</c:v>
                </c:pt>
                <c:pt idx="1">
                  <c:v>168</c:v>
                </c:pt>
                <c:pt idx="2">
                  <c:v>165</c:v>
                </c:pt>
                <c:pt idx="3">
                  <c:v>163</c:v>
                </c:pt>
                <c:pt idx="4">
                  <c:v>168</c:v>
                </c:pt>
                <c:pt idx="5">
                  <c:v>167</c:v>
                </c:pt>
                <c:pt idx="6">
                  <c:v>173</c:v>
                </c:pt>
                <c:pt idx="7">
                  <c:v>174</c:v>
                </c:pt>
                <c:pt idx="8">
                  <c:v>172</c:v>
                </c:pt>
                <c:pt idx="9">
                  <c:v>169</c:v>
                </c:pt>
                <c:pt idx="10">
                  <c:v>167</c:v>
                </c:pt>
                <c:pt idx="11">
                  <c:v>176</c:v>
                </c:pt>
                <c:pt idx="12">
                  <c:v>181</c:v>
                </c:pt>
                <c:pt idx="13">
                  <c:v>179</c:v>
                </c:pt>
                <c:pt idx="14">
                  <c:v>178</c:v>
                </c:pt>
                <c:pt idx="15">
                  <c:v>176</c:v>
                </c:pt>
                <c:pt idx="16">
                  <c:v>175</c:v>
                </c:pt>
                <c:pt idx="17">
                  <c:v>173</c:v>
                </c:pt>
                <c:pt idx="18">
                  <c:v>178</c:v>
                </c:pt>
                <c:pt idx="19">
                  <c:v>176</c:v>
                </c:pt>
                <c:pt idx="20">
                  <c:v>181</c:v>
                </c:pt>
                <c:pt idx="21">
                  <c:v>178</c:v>
                </c:pt>
                <c:pt idx="22">
                  <c:v>187</c:v>
                </c:pt>
                <c:pt idx="23">
                  <c:v>185</c:v>
                </c:pt>
                <c:pt idx="24">
                  <c:v>182</c:v>
                </c:pt>
                <c:pt idx="25">
                  <c:v>180</c:v>
                </c:pt>
                <c:pt idx="26">
                  <c:v>185</c:v>
                </c:pt>
                <c:pt idx="27">
                  <c:v>184</c:v>
                </c:pt>
                <c:pt idx="28">
                  <c:v>183</c:v>
                </c:pt>
                <c:pt idx="29">
                  <c:v>173</c:v>
                </c:pt>
                <c:pt idx="30">
                  <c:v>170</c:v>
                </c:pt>
                <c:pt idx="31">
                  <c:v>168</c:v>
                </c:pt>
                <c:pt idx="32">
                  <c:v>168</c:v>
                </c:pt>
                <c:pt idx="33">
                  <c:v>168</c:v>
                </c:pt>
                <c:pt idx="34">
                  <c:v>167</c:v>
                </c:pt>
                <c:pt idx="35">
                  <c:v>172</c:v>
                </c:pt>
                <c:pt idx="36">
                  <c:v>172</c:v>
                </c:pt>
                <c:pt idx="37">
                  <c:v>164</c:v>
                </c:pt>
                <c:pt idx="38">
                  <c:v>162</c:v>
                </c:pt>
                <c:pt idx="39">
                  <c:v>164</c:v>
                </c:pt>
                <c:pt idx="40">
                  <c:v>165</c:v>
                </c:pt>
                <c:pt idx="41">
                  <c:v>165</c:v>
                </c:pt>
                <c:pt idx="42">
                  <c:v>163</c:v>
                </c:pt>
                <c:pt idx="43">
                  <c:v>162</c:v>
                </c:pt>
                <c:pt idx="44">
                  <c:v>167</c:v>
                </c:pt>
                <c:pt idx="45">
                  <c:v>167</c:v>
                </c:pt>
                <c:pt idx="46">
                  <c:v>167</c:v>
                </c:pt>
                <c:pt idx="47">
                  <c:v>166</c:v>
                </c:pt>
                <c:pt idx="48">
                  <c:v>159</c:v>
                </c:pt>
                <c:pt idx="49">
                  <c:v>157</c:v>
                </c:pt>
                <c:pt idx="50">
                  <c:v>157</c:v>
                </c:pt>
                <c:pt idx="51">
                  <c:v>157</c:v>
                </c:pt>
                <c:pt idx="52">
                  <c:v>157</c:v>
                </c:pt>
                <c:pt idx="53">
                  <c:v>157</c:v>
                </c:pt>
                <c:pt idx="54">
                  <c:v>155</c:v>
                </c:pt>
                <c:pt idx="55">
                  <c:v>155</c:v>
                </c:pt>
                <c:pt idx="56">
                  <c:v>155</c:v>
                </c:pt>
                <c:pt idx="57">
                  <c:v>155</c:v>
                </c:pt>
                <c:pt idx="58">
                  <c:v>155</c:v>
                </c:pt>
                <c:pt idx="59">
                  <c:v>155</c:v>
                </c:pt>
                <c:pt idx="60">
                  <c:v>146</c:v>
                </c:pt>
                <c:pt idx="61">
                  <c:v>148</c:v>
                </c:pt>
                <c:pt idx="62">
                  <c:v>152</c:v>
                </c:pt>
                <c:pt idx="63">
                  <c:v>152</c:v>
                </c:pt>
                <c:pt idx="64">
                  <c:v>150</c:v>
                </c:pt>
                <c:pt idx="65">
                  <c:v>157</c:v>
                </c:pt>
                <c:pt idx="66">
                  <c:v>162</c:v>
                </c:pt>
                <c:pt idx="67">
                  <c:v>161</c:v>
                </c:pt>
                <c:pt idx="68">
                  <c:v>161</c:v>
                </c:pt>
                <c:pt idx="69">
                  <c:v>160</c:v>
                </c:pt>
                <c:pt idx="70">
                  <c:v>151</c:v>
                </c:pt>
                <c:pt idx="71">
                  <c:v>151</c:v>
                </c:pt>
                <c:pt idx="72">
                  <c:v>151</c:v>
                </c:pt>
                <c:pt idx="73">
                  <c:v>150</c:v>
                </c:pt>
                <c:pt idx="74">
                  <c:v>149</c:v>
                </c:pt>
                <c:pt idx="75">
                  <c:v>149</c:v>
                </c:pt>
                <c:pt idx="76">
                  <c:v>149</c:v>
                </c:pt>
                <c:pt idx="77">
                  <c:v>149</c:v>
                </c:pt>
                <c:pt idx="78">
                  <c:v>149</c:v>
                </c:pt>
                <c:pt idx="79">
                  <c:v>148</c:v>
                </c:pt>
                <c:pt idx="80">
                  <c:v>139</c:v>
                </c:pt>
                <c:pt idx="81">
                  <c:v>138</c:v>
                </c:pt>
                <c:pt idx="82">
                  <c:v>138</c:v>
                </c:pt>
                <c:pt idx="83">
                  <c:v>137</c:v>
                </c:pt>
                <c:pt idx="84">
                  <c:v>136</c:v>
                </c:pt>
                <c:pt idx="85">
                  <c:v>129</c:v>
                </c:pt>
                <c:pt idx="86">
                  <c:v>129</c:v>
                </c:pt>
                <c:pt idx="87">
                  <c:v>128</c:v>
                </c:pt>
                <c:pt idx="88">
                  <c:v>128</c:v>
                </c:pt>
                <c:pt idx="89">
                  <c:v>134</c:v>
                </c:pt>
                <c:pt idx="90">
                  <c:v>133</c:v>
                </c:pt>
                <c:pt idx="91">
                  <c:v>132</c:v>
                </c:pt>
                <c:pt idx="92">
                  <c:v>133</c:v>
                </c:pt>
                <c:pt idx="93">
                  <c:v>132</c:v>
                </c:pt>
                <c:pt idx="94">
                  <c:v>135</c:v>
                </c:pt>
                <c:pt idx="95">
                  <c:v>135</c:v>
                </c:pt>
                <c:pt idx="96">
                  <c:v>135</c:v>
                </c:pt>
                <c:pt idx="97">
                  <c:v>134</c:v>
                </c:pt>
                <c:pt idx="98">
                  <c:v>133</c:v>
                </c:pt>
                <c:pt idx="99">
                  <c:v>133</c:v>
                </c:pt>
                <c:pt idx="100">
                  <c:v>137</c:v>
                </c:pt>
                <c:pt idx="101">
                  <c:v>136</c:v>
                </c:pt>
                <c:pt idx="102">
                  <c:v>136</c:v>
                </c:pt>
                <c:pt idx="103">
                  <c:v>136</c:v>
                </c:pt>
                <c:pt idx="104">
                  <c:v>136</c:v>
                </c:pt>
                <c:pt idx="105">
                  <c:v>137</c:v>
                </c:pt>
                <c:pt idx="106">
                  <c:v>137</c:v>
                </c:pt>
                <c:pt idx="107">
                  <c:v>132</c:v>
                </c:pt>
                <c:pt idx="108">
                  <c:v>132</c:v>
                </c:pt>
                <c:pt idx="109">
                  <c:v>132</c:v>
                </c:pt>
                <c:pt idx="110">
                  <c:v>133</c:v>
                </c:pt>
                <c:pt idx="111">
                  <c:v>138</c:v>
                </c:pt>
                <c:pt idx="112">
                  <c:v>139</c:v>
                </c:pt>
                <c:pt idx="113">
                  <c:v>143</c:v>
                </c:pt>
                <c:pt idx="114">
                  <c:v>143</c:v>
                </c:pt>
                <c:pt idx="115">
                  <c:v>146</c:v>
                </c:pt>
                <c:pt idx="116">
                  <c:v>146</c:v>
                </c:pt>
                <c:pt idx="117">
                  <c:v>143</c:v>
                </c:pt>
                <c:pt idx="118">
                  <c:v>143</c:v>
                </c:pt>
                <c:pt idx="119">
                  <c:v>143</c:v>
                </c:pt>
              </c:numCache>
            </c:numRef>
          </c:val>
          <c:smooth val="0"/>
          <c:extLst>
            <c:ext xmlns:c16="http://schemas.microsoft.com/office/drawing/2014/chart" uri="{C3380CC4-5D6E-409C-BE32-E72D297353CC}">
              <c16:uniqueId val="{00000000-4CA4-451D-8A38-B0D364A16044}"/>
            </c:ext>
          </c:extLst>
        </c:ser>
        <c:dLbls>
          <c:showLegendKey val="0"/>
          <c:showVal val="0"/>
          <c:showCatName val="0"/>
          <c:showSerName val="0"/>
          <c:showPercent val="0"/>
          <c:showBubbleSize val="0"/>
        </c:dLbls>
        <c:marker val="1"/>
        <c:smooth val="0"/>
        <c:axId val="591591664"/>
        <c:axId val="591577232"/>
      </c:lineChart>
      <c:catAx>
        <c:axId val="503883400"/>
        <c:scaling>
          <c:orientation val="minMax"/>
        </c:scaling>
        <c:delete val="1"/>
        <c:axPos val="b"/>
        <c:majorGridlines>
          <c:spPr>
            <a:ln w="9525" cap="flat" cmpd="sng" algn="ctr">
              <a:solidFill>
                <a:schemeClr val="tx1">
                  <a:lumMod val="50000"/>
                  <a:lumOff val="50000"/>
                </a:schemeClr>
              </a:solidFill>
              <a:round/>
            </a:ln>
            <a:effectLst/>
          </c:spPr>
        </c:majorGridlines>
        <c:numFmt formatCode="General" sourceLinked="1"/>
        <c:majorTickMark val="out"/>
        <c:minorTickMark val="none"/>
        <c:tickLblPos val="nextTo"/>
        <c:crossAx val="503879792"/>
        <c:crosses val="autoZero"/>
        <c:auto val="1"/>
        <c:lblAlgn val="ctr"/>
        <c:lblOffset val="100"/>
        <c:tickLblSkip val="6"/>
        <c:tickMarkSkip val="6"/>
        <c:noMultiLvlLbl val="0"/>
      </c:catAx>
      <c:valAx>
        <c:axId val="5038797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0"/>
        <c:majorTickMark val="out"/>
        <c:minorTickMark val="none"/>
        <c:tickLblPos val="low"/>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83400"/>
        <c:crossesAt val="6"/>
        <c:crossBetween val="between"/>
      </c:valAx>
      <c:valAx>
        <c:axId val="591577232"/>
        <c:scaling>
          <c:orientation val="minMax"/>
          <c:max val="200"/>
          <c:min val="1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591664"/>
        <c:crosses val="max"/>
        <c:crossBetween val="between"/>
      </c:valAx>
      <c:catAx>
        <c:axId val="591591664"/>
        <c:scaling>
          <c:orientation val="minMax"/>
        </c:scaling>
        <c:delete val="1"/>
        <c:axPos val="b"/>
        <c:majorTickMark val="out"/>
        <c:minorTickMark val="none"/>
        <c:tickLblPos val="nextTo"/>
        <c:crossAx val="591577232"/>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19</xdr:col>
      <xdr:colOff>74907</xdr:colOff>
      <xdr:row>4</xdr:row>
      <xdr:rowOff>127922</xdr:rowOff>
    </xdr:from>
    <xdr:to>
      <xdr:col>39</xdr:col>
      <xdr:colOff>401782</xdr:colOff>
      <xdr:row>23</xdr:row>
      <xdr:rowOff>116418</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71869</xdr:colOff>
      <xdr:row>47</xdr:row>
      <xdr:rowOff>15489</xdr:rowOff>
    </xdr:from>
    <xdr:to>
      <xdr:col>39</xdr:col>
      <xdr:colOff>544373</xdr:colOff>
      <xdr:row>53</xdr:row>
      <xdr:rowOff>166687</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63500</xdr:colOff>
      <xdr:row>42</xdr:row>
      <xdr:rowOff>21649</xdr:rowOff>
    </xdr:from>
    <xdr:to>
      <xdr:col>39</xdr:col>
      <xdr:colOff>438151</xdr:colOff>
      <xdr:row>47</xdr:row>
      <xdr:rowOff>25257</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42334</xdr:colOff>
      <xdr:row>23</xdr:row>
      <xdr:rowOff>74083</xdr:rowOff>
    </xdr:from>
    <xdr:to>
      <xdr:col>39</xdr:col>
      <xdr:colOff>426987</xdr:colOff>
      <xdr:row>42</xdr:row>
      <xdr:rowOff>21650</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hennai-super-kings-vs-mumbai-indians-elimination-final?innings=2&amp;filter=full_1" connectionId="1"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O122"/>
  <sheetViews>
    <sheetView workbookViewId="0">
      <selection activeCell="N34" sqref="N34"/>
    </sheetView>
  </sheetViews>
  <sheetFormatPr defaultRowHeight="14.4" x14ac:dyDescent="0.3"/>
  <cols>
    <col min="34" max="34" width="11" customWidth="1"/>
    <col min="51" max="51" width="20.88671875" bestFit="1" customWidth="1"/>
    <col min="52" max="52" width="18.109375" bestFit="1" customWidth="1"/>
    <col min="53" max="53" width="15.44140625" bestFit="1" customWidth="1"/>
    <col min="54" max="54" width="11.44140625" bestFit="1" customWidth="1"/>
    <col min="55" max="55" width="6.109375" customWidth="1"/>
    <col min="56" max="56" width="6.6640625" customWidth="1"/>
    <col min="57" max="57" width="9.33203125" bestFit="1" customWidth="1"/>
  </cols>
  <sheetData>
    <row r="1" spans="1:67" ht="15" thickBot="1" x14ac:dyDescent="0.35">
      <c r="A1" s="10" t="s">
        <v>34</v>
      </c>
      <c r="B1" s="10">
        <v>1</v>
      </c>
      <c r="C1" s="10">
        <v>2</v>
      </c>
      <c r="D1" s="10">
        <v>3</v>
      </c>
      <c r="E1" s="10">
        <v>4</v>
      </c>
      <c r="F1" s="10">
        <v>5</v>
      </c>
      <c r="G1" s="10">
        <v>6</v>
      </c>
      <c r="H1" s="10"/>
      <c r="I1" s="10" t="s">
        <v>20</v>
      </c>
      <c r="J1" s="10"/>
      <c r="K1" s="10" t="s">
        <v>35</v>
      </c>
      <c r="L1" s="10"/>
      <c r="M1" s="10"/>
      <c r="N1" s="10"/>
      <c r="O1" s="10"/>
      <c r="P1" s="10"/>
      <c r="Q1" s="10"/>
      <c r="R1" s="10" t="s">
        <v>40</v>
      </c>
      <c r="S1" s="10"/>
      <c r="T1" s="10"/>
      <c r="U1" s="10"/>
      <c r="V1" s="10"/>
      <c r="W1" s="10"/>
      <c r="X1" s="10"/>
      <c r="Y1" s="10"/>
      <c r="Z1" s="10" t="s">
        <v>40</v>
      </c>
      <c r="AA1" s="10"/>
      <c r="AB1" s="10"/>
      <c r="AC1" s="10"/>
      <c r="AD1" s="10"/>
      <c r="AE1" s="10"/>
      <c r="AF1" s="10"/>
      <c r="AG1" s="10"/>
      <c r="AH1" s="10" t="s">
        <v>42</v>
      </c>
      <c r="AI1" s="10">
        <v>0</v>
      </c>
      <c r="AJ1" s="10">
        <v>1</v>
      </c>
      <c r="AK1" s="10">
        <v>2</v>
      </c>
      <c r="AL1" s="10">
        <v>3</v>
      </c>
      <c r="AM1" s="10">
        <v>4</v>
      </c>
      <c r="AN1" s="10">
        <v>5</v>
      </c>
      <c r="AO1" s="10">
        <v>6</v>
      </c>
      <c r="AP1" s="10">
        <v>7</v>
      </c>
      <c r="AQ1" s="10">
        <v>8</v>
      </c>
      <c r="AR1" s="10">
        <v>9</v>
      </c>
      <c r="AS1" s="10"/>
      <c r="AT1" s="10"/>
      <c r="AU1" s="10"/>
      <c r="AV1" s="10"/>
      <c r="AW1" s="10"/>
      <c r="AX1" s="10"/>
      <c r="AY1" s="10"/>
      <c r="AZ1" s="10"/>
      <c r="BA1" s="10"/>
      <c r="BB1" s="10"/>
      <c r="BC1" s="10"/>
      <c r="BD1" s="10"/>
      <c r="BE1" s="10"/>
      <c r="BF1" s="10"/>
      <c r="BG1" s="10"/>
      <c r="BH1" s="10"/>
      <c r="BI1" s="10"/>
      <c r="BJ1" s="10"/>
      <c r="BK1" s="10"/>
      <c r="BL1" s="10"/>
      <c r="BM1" s="10"/>
      <c r="BN1" t="s">
        <v>181</v>
      </c>
    </row>
    <row r="2" spans="1:67" ht="13.5" customHeight="1" thickBot="1" x14ac:dyDescent="0.35">
      <c r="A2" s="10">
        <v>1</v>
      </c>
      <c r="B2" s="57">
        <v>0</v>
      </c>
      <c r="C2" s="58">
        <v>1</v>
      </c>
      <c r="D2" s="58">
        <v>0</v>
      </c>
      <c r="E2" s="58">
        <v>0</v>
      </c>
      <c r="F2" s="58">
        <v>4</v>
      </c>
      <c r="G2" s="59">
        <v>1</v>
      </c>
      <c r="H2" s="10"/>
      <c r="I2" s="83">
        <v>1</v>
      </c>
      <c r="J2" s="10"/>
      <c r="K2" s="57" t="s">
        <v>44</v>
      </c>
      <c r="L2" s="58" t="s">
        <v>45</v>
      </c>
      <c r="M2" s="58" t="s">
        <v>46</v>
      </c>
      <c r="N2" s="58" t="s">
        <v>47</v>
      </c>
      <c r="O2" s="86" t="s">
        <v>48</v>
      </c>
      <c r="P2" s="59" t="s">
        <v>49</v>
      </c>
      <c r="Q2" s="10"/>
      <c r="R2" s="20">
        <v>170</v>
      </c>
      <c r="S2" s="57">
        <v>169</v>
      </c>
      <c r="T2" s="58">
        <v>168</v>
      </c>
      <c r="U2" s="58">
        <v>165</v>
      </c>
      <c r="V2" s="58">
        <v>163</v>
      </c>
      <c r="W2" s="58">
        <v>168</v>
      </c>
      <c r="X2" s="59">
        <v>167</v>
      </c>
      <c r="Y2" s="10"/>
      <c r="Z2" s="20"/>
      <c r="AA2" s="57">
        <v>10</v>
      </c>
      <c r="AB2" s="58">
        <v>7</v>
      </c>
      <c r="AC2" s="58">
        <v>7</v>
      </c>
      <c r="AD2" s="58">
        <v>5</v>
      </c>
      <c r="AE2" s="58">
        <v>4</v>
      </c>
      <c r="AF2" s="59">
        <v>6</v>
      </c>
      <c r="AG2" s="10"/>
      <c r="AH2" s="10">
        <v>0</v>
      </c>
      <c r="AI2" s="57">
        <v>100</v>
      </c>
      <c r="AJ2" s="58">
        <v>96.9</v>
      </c>
      <c r="AK2" s="58">
        <v>93</v>
      </c>
      <c r="AL2" s="58">
        <v>87.9</v>
      </c>
      <c r="AM2" s="58">
        <v>81.3</v>
      </c>
      <c r="AN2" s="58">
        <v>72.2</v>
      </c>
      <c r="AO2" s="58">
        <v>59.9</v>
      </c>
      <c r="AP2" s="58">
        <v>44.8</v>
      </c>
      <c r="AQ2" s="58">
        <v>29.7</v>
      </c>
      <c r="AR2" s="59">
        <v>17.600000000000001</v>
      </c>
      <c r="AS2" s="10"/>
      <c r="AT2" s="10" t="s">
        <v>12</v>
      </c>
      <c r="AU2" s="10" t="s">
        <v>13</v>
      </c>
      <c r="AV2" s="10" t="s">
        <v>14</v>
      </c>
      <c r="AW2" s="10" t="s">
        <v>15</v>
      </c>
      <c r="AX2" s="10" t="s">
        <v>43</v>
      </c>
      <c r="AY2" s="10" t="s">
        <v>16</v>
      </c>
      <c r="AZ2" s="10" t="s">
        <v>17</v>
      </c>
      <c r="BA2" s="10" t="s">
        <v>18</v>
      </c>
      <c r="BB2" s="10" t="s">
        <v>19</v>
      </c>
      <c r="BC2" s="10"/>
      <c r="BD2" s="10" t="s">
        <v>12</v>
      </c>
      <c r="BE2" s="10" t="s">
        <v>13</v>
      </c>
      <c r="BF2" s="10" t="s">
        <v>28</v>
      </c>
      <c r="BG2" s="10" t="s">
        <v>15</v>
      </c>
      <c r="BH2" s="10" t="s">
        <v>29</v>
      </c>
      <c r="BI2" s="10" t="s">
        <v>18</v>
      </c>
      <c r="BJ2" s="10" t="s">
        <v>30</v>
      </c>
      <c r="BK2" s="10">
        <v>5</v>
      </c>
      <c r="BL2" s="10">
        <v>10</v>
      </c>
      <c r="BM2" s="10"/>
      <c r="BN2">
        <v>169</v>
      </c>
    </row>
    <row r="3" spans="1:67" x14ac:dyDescent="0.3">
      <c r="A3" s="10">
        <v>2</v>
      </c>
      <c r="B3" s="60">
        <v>4</v>
      </c>
      <c r="C3" s="1">
        <v>2</v>
      </c>
      <c r="D3" s="1">
        <v>0</v>
      </c>
      <c r="E3" s="1">
        <v>0</v>
      </c>
      <c r="F3" s="1">
        <v>0</v>
      </c>
      <c r="G3" s="61">
        <v>6</v>
      </c>
      <c r="H3" s="10"/>
      <c r="I3" s="84">
        <v>2</v>
      </c>
      <c r="J3" s="10"/>
      <c r="K3" s="60" t="s">
        <v>50</v>
      </c>
      <c r="L3" s="1" t="s">
        <v>51</v>
      </c>
      <c r="M3" s="1" t="s">
        <v>52</v>
      </c>
      <c r="N3" s="1" t="s">
        <v>53</v>
      </c>
      <c r="O3" s="1" t="s">
        <v>54</v>
      </c>
      <c r="P3" s="61" t="s">
        <v>55</v>
      </c>
      <c r="Q3" s="10"/>
      <c r="R3" s="10"/>
      <c r="S3" s="60">
        <v>173</v>
      </c>
      <c r="T3" s="1">
        <v>174</v>
      </c>
      <c r="U3" s="1">
        <v>172</v>
      </c>
      <c r="V3" s="1">
        <v>169</v>
      </c>
      <c r="W3" s="1">
        <v>167</v>
      </c>
      <c r="X3" s="61">
        <v>176</v>
      </c>
      <c r="Y3" s="10"/>
      <c r="Z3" s="10"/>
      <c r="AA3" s="60">
        <v>8</v>
      </c>
      <c r="AB3" s="1">
        <v>15</v>
      </c>
      <c r="AC3" s="1">
        <v>13</v>
      </c>
      <c r="AD3" s="1">
        <v>10</v>
      </c>
      <c r="AE3" s="1">
        <v>9</v>
      </c>
      <c r="AF3" s="61">
        <v>7</v>
      </c>
      <c r="AG3" s="10"/>
      <c r="AH3" s="10">
        <v>1</v>
      </c>
      <c r="AI3" s="60">
        <v>95.6</v>
      </c>
      <c r="AJ3" s="1">
        <v>90.9</v>
      </c>
      <c r="AK3" s="1">
        <v>87.7</v>
      </c>
      <c r="AL3" s="1">
        <v>83</v>
      </c>
      <c r="AM3" s="1">
        <v>76.900000000000006</v>
      </c>
      <c r="AN3" s="1">
        <v>68.3</v>
      </c>
      <c r="AO3" s="1">
        <v>56.5</v>
      </c>
      <c r="AP3" s="1">
        <v>42</v>
      </c>
      <c r="AQ3" s="1">
        <v>27.2</v>
      </c>
      <c r="AR3" s="61">
        <v>15.3</v>
      </c>
      <c r="AS3" s="10"/>
      <c r="AT3" s="57" t="s">
        <v>56</v>
      </c>
      <c r="AU3" s="58">
        <v>96</v>
      </c>
      <c r="AV3" s="58">
        <v>11</v>
      </c>
      <c r="AW3" s="58">
        <v>2797</v>
      </c>
      <c r="AX3" s="58">
        <v>100</v>
      </c>
      <c r="AY3" s="58">
        <v>1</v>
      </c>
      <c r="AZ3" s="58">
        <v>16</v>
      </c>
      <c r="BA3" s="58">
        <v>32.9</v>
      </c>
      <c r="BB3" s="59">
        <v>121.08</v>
      </c>
      <c r="BC3" s="10"/>
      <c r="BD3" s="57" t="s">
        <v>57</v>
      </c>
      <c r="BE3" s="58">
        <v>89</v>
      </c>
      <c r="BF3" s="58">
        <v>1781</v>
      </c>
      <c r="BG3" s="58">
        <v>2280</v>
      </c>
      <c r="BH3" s="58">
        <v>73</v>
      </c>
      <c r="BI3" s="58">
        <v>31.23</v>
      </c>
      <c r="BJ3" s="58">
        <v>7.68</v>
      </c>
      <c r="BK3" s="58">
        <v>1</v>
      </c>
      <c r="BL3" s="59">
        <v>0</v>
      </c>
      <c r="BM3" s="10"/>
      <c r="BN3">
        <v>168</v>
      </c>
      <c r="BO3" s="10"/>
    </row>
    <row r="4" spans="1:67" x14ac:dyDescent="0.3">
      <c r="A4" s="10">
        <v>3</v>
      </c>
      <c r="B4" s="60">
        <v>4</v>
      </c>
      <c r="C4" s="1">
        <v>0</v>
      </c>
      <c r="D4" s="1">
        <v>1</v>
      </c>
      <c r="E4" s="1">
        <v>0</v>
      </c>
      <c r="F4" s="1">
        <v>1</v>
      </c>
      <c r="G4" s="61">
        <v>0</v>
      </c>
      <c r="H4" s="10"/>
      <c r="I4" s="84">
        <v>1</v>
      </c>
      <c r="J4" s="10"/>
      <c r="K4" s="60" t="s">
        <v>58</v>
      </c>
      <c r="L4" s="1" t="s">
        <v>59</v>
      </c>
      <c r="M4" s="1" t="s">
        <v>60</v>
      </c>
      <c r="N4" s="1" t="s">
        <v>61</v>
      </c>
      <c r="O4" s="1" t="s">
        <v>62</v>
      </c>
      <c r="P4" s="61" t="s">
        <v>63</v>
      </c>
      <c r="Q4" s="10"/>
      <c r="R4" s="10"/>
      <c r="S4" s="60">
        <v>181</v>
      </c>
      <c r="T4" s="1">
        <v>179</v>
      </c>
      <c r="U4" s="1">
        <v>178</v>
      </c>
      <c r="V4" s="1">
        <v>176</v>
      </c>
      <c r="W4" s="1">
        <v>175</v>
      </c>
      <c r="X4" s="61">
        <v>173</v>
      </c>
      <c r="Y4" s="10"/>
      <c r="Z4" s="10"/>
      <c r="AA4" s="60">
        <v>9</v>
      </c>
      <c r="AB4" s="1">
        <v>16</v>
      </c>
      <c r="AC4" s="1">
        <v>11</v>
      </c>
      <c r="AD4" s="1">
        <v>10</v>
      </c>
      <c r="AE4" s="1">
        <v>8</v>
      </c>
      <c r="AF4" s="61">
        <v>7</v>
      </c>
      <c r="AG4" s="10"/>
      <c r="AH4" s="10">
        <v>2</v>
      </c>
      <c r="AI4" s="60">
        <v>91.7</v>
      </c>
      <c r="AJ4" s="1">
        <v>86.7</v>
      </c>
      <c r="AK4" s="1">
        <v>82.9</v>
      </c>
      <c r="AL4" s="1">
        <v>78.7</v>
      </c>
      <c r="AM4" s="1">
        <v>73.2</v>
      </c>
      <c r="AN4" s="1">
        <v>65.400000000000006</v>
      </c>
      <c r="AO4" s="1">
        <v>54.2</v>
      </c>
      <c r="AP4" s="1">
        <v>40.200000000000003</v>
      </c>
      <c r="AQ4" s="1">
        <v>25.7</v>
      </c>
      <c r="AR4" s="61">
        <v>13.9</v>
      </c>
      <c r="AS4" s="10"/>
      <c r="AT4" s="60" t="s">
        <v>64</v>
      </c>
      <c r="AU4" s="1">
        <v>310</v>
      </c>
      <c r="AV4" s="1">
        <v>26</v>
      </c>
      <c r="AW4" s="1">
        <v>7603</v>
      </c>
      <c r="AX4" s="1">
        <v>110</v>
      </c>
      <c r="AY4" s="1">
        <v>5</v>
      </c>
      <c r="AZ4" s="1">
        <v>45</v>
      </c>
      <c r="BA4" s="1">
        <v>26.77</v>
      </c>
      <c r="BB4" s="61">
        <v>127.91</v>
      </c>
      <c r="BC4" s="10"/>
      <c r="BD4" s="60" t="s">
        <v>65</v>
      </c>
      <c r="BE4" s="1">
        <v>96</v>
      </c>
      <c r="BF4" s="1">
        <v>2050</v>
      </c>
      <c r="BG4" s="1">
        <v>2598</v>
      </c>
      <c r="BH4" s="1">
        <v>117</v>
      </c>
      <c r="BI4" s="1">
        <v>22.2</v>
      </c>
      <c r="BJ4" s="1">
        <v>7.6</v>
      </c>
      <c r="BK4" s="1">
        <v>1</v>
      </c>
      <c r="BL4" s="61">
        <v>0</v>
      </c>
      <c r="BM4" s="10"/>
      <c r="BN4">
        <v>165</v>
      </c>
      <c r="BO4" s="10"/>
    </row>
    <row r="5" spans="1:67" x14ac:dyDescent="0.3">
      <c r="A5" s="10">
        <v>4</v>
      </c>
      <c r="B5" s="60">
        <v>4</v>
      </c>
      <c r="C5" s="1">
        <v>0</v>
      </c>
      <c r="D5" s="1">
        <v>4</v>
      </c>
      <c r="E5" s="1">
        <v>0</v>
      </c>
      <c r="F5" s="1">
        <v>6</v>
      </c>
      <c r="G5" s="61">
        <v>0</v>
      </c>
      <c r="H5" s="10"/>
      <c r="I5" s="84">
        <v>2</v>
      </c>
      <c r="J5" s="10"/>
      <c r="K5" s="60" t="s">
        <v>66</v>
      </c>
      <c r="L5" s="1" t="s">
        <v>67</v>
      </c>
      <c r="M5" s="1" t="s">
        <v>68</v>
      </c>
      <c r="N5" s="1" t="s">
        <v>69</v>
      </c>
      <c r="O5" s="1" t="s">
        <v>70</v>
      </c>
      <c r="P5" s="61" t="s">
        <v>71</v>
      </c>
      <c r="Q5" s="10"/>
      <c r="R5" s="10"/>
      <c r="S5" s="60">
        <v>178</v>
      </c>
      <c r="T5" s="1">
        <v>176</v>
      </c>
      <c r="U5" s="1">
        <v>181</v>
      </c>
      <c r="V5" s="1">
        <v>178</v>
      </c>
      <c r="W5" s="1">
        <v>187</v>
      </c>
      <c r="X5" s="61">
        <v>185</v>
      </c>
      <c r="Y5" s="10"/>
      <c r="Z5" s="10"/>
      <c r="AA5" s="60">
        <v>9</v>
      </c>
      <c r="AB5" s="1">
        <v>15</v>
      </c>
      <c r="AC5" s="1">
        <v>10</v>
      </c>
      <c r="AD5" s="1">
        <v>13</v>
      </c>
      <c r="AE5" s="1">
        <v>11</v>
      </c>
      <c r="AF5" s="61">
        <v>16</v>
      </c>
      <c r="AG5" s="10"/>
      <c r="AH5" s="10">
        <v>3</v>
      </c>
      <c r="AI5" s="60">
        <v>87.7</v>
      </c>
      <c r="AJ5" s="1">
        <v>82.3</v>
      </c>
      <c r="AK5" s="1">
        <v>78.900000000000006</v>
      </c>
      <c r="AL5" s="1">
        <v>73.8</v>
      </c>
      <c r="AM5" s="1">
        <v>69.7</v>
      </c>
      <c r="AN5" s="1">
        <v>62.8</v>
      </c>
      <c r="AO5" s="1">
        <v>52.2</v>
      </c>
      <c r="AP5" s="1">
        <v>38.700000000000003</v>
      </c>
      <c r="AQ5" s="1">
        <v>24.6</v>
      </c>
      <c r="AR5" s="61">
        <v>12.8</v>
      </c>
      <c r="AS5" s="10"/>
      <c r="AT5" s="60" t="s">
        <v>72</v>
      </c>
      <c r="AU5" s="1">
        <v>274</v>
      </c>
      <c r="AV5" s="1">
        <v>43</v>
      </c>
      <c r="AW5" s="1">
        <v>7413</v>
      </c>
      <c r="AX5" s="1">
        <v>118</v>
      </c>
      <c r="AY5" s="1">
        <v>4</v>
      </c>
      <c r="AZ5" s="1">
        <v>52</v>
      </c>
      <c r="BA5" s="1">
        <v>32.090000000000003</v>
      </c>
      <c r="BB5" s="61">
        <v>132.91999999999999</v>
      </c>
      <c r="BC5" s="10"/>
      <c r="BD5" s="60" t="s">
        <v>73</v>
      </c>
      <c r="BE5" s="1">
        <v>207</v>
      </c>
      <c r="BF5" s="1">
        <v>4478</v>
      </c>
      <c r="BG5" s="1">
        <v>5112</v>
      </c>
      <c r="BH5" s="1">
        <v>210</v>
      </c>
      <c r="BI5" s="1">
        <v>24.34</v>
      </c>
      <c r="BJ5" s="1">
        <v>6.84</v>
      </c>
      <c r="BK5" s="1">
        <v>0</v>
      </c>
      <c r="BL5" s="61">
        <v>0</v>
      </c>
      <c r="BM5" s="10"/>
      <c r="BN5">
        <v>163</v>
      </c>
      <c r="BO5" s="10"/>
    </row>
    <row r="6" spans="1:67" x14ac:dyDescent="0.3">
      <c r="A6" s="10">
        <v>5</v>
      </c>
      <c r="B6" s="60">
        <v>0</v>
      </c>
      <c r="C6" s="1">
        <v>0</v>
      </c>
      <c r="D6" s="1">
        <v>4</v>
      </c>
      <c r="E6" s="1">
        <v>1</v>
      </c>
      <c r="F6" s="1">
        <v>1</v>
      </c>
      <c r="G6" s="61">
        <v>-2</v>
      </c>
      <c r="H6" s="10"/>
      <c r="I6" s="84">
        <v>1</v>
      </c>
      <c r="J6" s="10"/>
      <c r="K6" s="60" t="s">
        <v>74</v>
      </c>
      <c r="L6" s="1" t="s">
        <v>75</v>
      </c>
      <c r="M6" s="1" t="s">
        <v>76</v>
      </c>
      <c r="N6" s="1" t="s">
        <v>77</v>
      </c>
      <c r="O6" s="1" t="s">
        <v>78</v>
      </c>
      <c r="P6" s="61" t="s">
        <v>79</v>
      </c>
      <c r="Q6" s="10"/>
      <c r="R6" s="10"/>
      <c r="S6" s="60">
        <v>182</v>
      </c>
      <c r="T6" s="1">
        <v>180</v>
      </c>
      <c r="U6" s="1">
        <v>185</v>
      </c>
      <c r="V6" s="1">
        <v>184</v>
      </c>
      <c r="W6" s="1">
        <v>183</v>
      </c>
      <c r="X6" s="61">
        <v>173</v>
      </c>
      <c r="Y6" s="10"/>
      <c r="Z6" s="10"/>
      <c r="AA6" s="60">
        <v>9</v>
      </c>
      <c r="AB6" s="1">
        <v>8</v>
      </c>
      <c r="AC6" s="1">
        <v>6</v>
      </c>
      <c r="AD6" s="1">
        <v>9</v>
      </c>
      <c r="AE6" s="1">
        <v>8</v>
      </c>
      <c r="AF6" s="61">
        <v>8</v>
      </c>
      <c r="AG6" s="10"/>
      <c r="AH6" s="10">
        <v>4</v>
      </c>
      <c r="AI6" s="60">
        <v>83.5</v>
      </c>
      <c r="AJ6" s="1">
        <v>78.2</v>
      </c>
      <c r="AK6" s="1">
        <v>75.3</v>
      </c>
      <c r="AL6" s="1">
        <v>70.5</v>
      </c>
      <c r="AM6" s="1">
        <v>66.400000000000006</v>
      </c>
      <c r="AN6" s="1">
        <v>60.2</v>
      </c>
      <c r="AO6" s="1">
        <v>50.3</v>
      </c>
      <c r="AP6" s="1">
        <v>37.4</v>
      </c>
      <c r="AQ6" s="1">
        <v>23.5</v>
      </c>
      <c r="AR6" s="61">
        <v>12</v>
      </c>
      <c r="AS6" s="10"/>
      <c r="AT6" s="60" t="s">
        <v>80</v>
      </c>
      <c r="AU6" s="1">
        <v>224</v>
      </c>
      <c r="AV6" s="1">
        <v>38</v>
      </c>
      <c r="AW6" s="1">
        <v>5024</v>
      </c>
      <c r="AX6" s="1">
        <v>90</v>
      </c>
      <c r="AY6" s="1">
        <v>0</v>
      </c>
      <c r="AZ6" s="1">
        <v>25</v>
      </c>
      <c r="BA6" s="1">
        <v>27.01</v>
      </c>
      <c r="BB6" s="61">
        <v>132.55000000000001</v>
      </c>
      <c r="BC6" s="10"/>
      <c r="BD6" s="60" t="s">
        <v>81</v>
      </c>
      <c r="BE6" s="1">
        <v>184</v>
      </c>
      <c r="BF6" s="1">
        <v>3272</v>
      </c>
      <c r="BG6" s="1">
        <v>4243</v>
      </c>
      <c r="BH6" s="1">
        <v>135</v>
      </c>
      <c r="BI6" s="1">
        <v>31.42</v>
      </c>
      <c r="BJ6" s="1">
        <v>7.78</v>
      </c>
      <c r="BK6" s="1">
        <v>1</v>
      </c>
      <c r="BL6" s="61">
        <v>0</v>
      </c>
      <c r="BM6" s="10"/>
      <c r="BN6">
        <v>168</v>
      </c>
      <c r="BO6" s="10"/>
    </row>
    <row r="7" spans="1:67" x14ac:dyDescent="0.3">
      <c r="A7" s="10">
        <v>6</v>
      </c>
      <c r="B7" s="60">
        <v>0</v>
      </c>
      <c r="C7" s="1">
        <v>0</v>
      </c>
      <c r="D7" s="1">
        <v>1</v>
      </c>
      <c r="E7" s="1">
        <v>1</v>
      </c>
      <c r="F7" s="1">
        <v>1</v>
      </c>
      <c r="G7" s="61">
        <v>4</v>
      </c>
      <c r="H7" s="10"/>
      <c r="I7" s="84">
        <v>3</v>
      </c>
      <c r="J7" s="10"/>
      <c r="K7" s="60" t="s">
        <v>82</v>
      </c>
      <c r="L7" s="1" t="s">
        <v>83</v>
      </c>
      <c r="M7" s="1" t="s">
        <v>84</v>
      </c>
      <c r="N7" s="1" t="s">
        <v>85</v>
      </c>
      <c r="O7" s="1" t="s">
        <v>86</v>
      </c>
      <c r="P7" s="61" t="s">
        <v>87</v>
      </c>
      <c r="Q7" s="10"/>
      <c r="R7" s="10"/>
      <c r="S7" s="60">
        <v>170</v>
      </c>
      <c r="T7" s="1">
        <v>168</v>
      </c>
      <c r="U7" s="1">
        <v>168</v>
      </c>
      <c r="V7" s="1">
        <v>168</v>
      </c>
      <c r="W7" s="1">
        <v>167</v>
      </c>
      <c r="X7" s="61">
        <v>172</v>
      </c>
      <c r="Y7" s="10"/>
      <c r="Z7" s="10"/>
      <c r="AA7" s="60">
        <v>9</v>
      </c>
      <c r="AB7" s="1">
        <v>7</v>
      </c>
      <c r="AC7" s="1">
        <v>6</v>
      </c>
      <c r="AD7" s="1">
        <v>5</v>
      </c>
      <c r="AE7" s="1">
        <v>5</v>
      </c>
      <c r="AF7" s="61">
        <v>4</v>
      </c>
      <c r="AG7" s="10"/>
      <c r="AH7" s="10">
        <v>5</v>
      </c>
      <c r="AI7" s="60">
        <v>79.2</v>
      </c>
      <c r="AJ7" s="1">
        <v>74.3</v>
      </c>
      <c r="AK7" s="1">
        <v>70.900000000000006</v>
      </c>
      <c r="AL7" s="1">
        <v>66.900000000000006</v>
      </c>
      <c r="AM7" s="1">
        <v>62.6</v>
      </c>
      <c r="AN7" s="1">
        <v>57.4</v>
      </c>
      <c r="AO7" s="1">
        <v>48.4</v>
      </c>
      <c r="AP7" s="1">
        <v>36.200000000000003</v>
      </c>
      <c r="AQ7" s="1">
        <v>22.7</v>
      </c>
      <c r="AR7" s="61">
        <v>11.2</v>
      </c>
      <c r="AS7" s="10"/>
      <c r="AT7" s="60" t="s">
        <v>88</v>
      </c>
      <c r="AU7" s="1">
        <v>205</v>
      </c>
      <c r="AV7" s="1">
        <v>50</v>
      </c>
      <c r="AW7" s="1">
        <v>4301</v>
      </c>
      <c r="AX7" s="1">
        <v>90</v>
      </c>
      <c r="AY7" s="1">
        <v>0</v>
      </c>
      <c r="AZ7" s="1">
        <v>15</v>
      </c>
      <c r="BA7" s="1">
        <v>27.74</v>
      </c>
      <c r="BB7" s="61">
        <v>124.7</v>
      </c>
      <c r="BC7" s="10"/>
      <c r="BD7" s="60" t="s">
        <v>89</v>
      </c>
      <c r="BE7" s="1">
        <v>279</v>
      </c>
      <c r="BF7" s="1">
        <v>4912</v>
      </c>
      <c r="BG7" s="1">
        <v>6233</v>
      </c>
      <c r="BH7" s="1">
        <v>245</v>
      </c>
      <c r="BI7" s="1">
        <v>25.44</v>
      </c>
      <c r="BJ7" s="1">
        <v>7.61</v>
      </c>
      <c r="BK7" s="1">
        <v>0</v>
      </c>
      <c r="BL7" s="61">
        <v>0</v>
      </c>
      <c r="BM7" s="10"/>
      <c r="BN7">
        <v>167</v>
      </c>
      <c r="BO7" s="10"/>
    </row>
    <row r="8" spans="1:67" ht="15" thickBot="1" x14ac:dyDescent="0.35">
      <c r="A8" s="10">
        <v>7</v>
      </c>
      <c r="B8" s="60">
        <v>1</v>
      </c>
      <c r="C8" s="1">
        <v>-2</v>
      </c>
      <c r="D8" s="1">
        <v>0</v>
      </c>
      <c r="E8" s="1">
        <v>2</v>
      </c>
      <c r="F8" s="1">
        <v>2</v>
      </c>
      <c r="G8" s="61">
        <v>1</v>
      </c>
      <c r="H8" s="10"/>
      <c r="I8" s="84">
        <v>1</v>
      </c>
      <c r="J8" s="10"/>
      <c r="K8" s="60" t="s">
        <v>90</v>
      </c>
      <c r="L8" s="1" t="s">
        <v>91</v>
      </c>
      <c r="M8" s="1" t="s">
        <v>92</v>
      </c>
      <c r="N8" s="1" t="s">
        <v>93</v>
      </c>
      <c r="O8" s="1" t="s">
        <v>94</v>
      </c>
      <c r="P8" s="61" t="s">
        <v>95</v>
      </c>
      <c r="Q8" s="10"/>
      <c r="R8" s="10"/>
      <c r="S8" s="60">
        <v>172</v>
      </c>
      <c r="T8" s="1">
        <v>164</v>
      </c>
      <c r="U8" s="1">
        <v>162</v>
      </c>
      <c r="V8" s="1">
        <v>164</v>
      </c>
      <c r="W8" s="1">
        <v>165</v>
      </c>
      <c r="X8" s="61">
        <v>165</v>
      </c>
      <c r="Y8" s="10"/>
      <c r="Z8" s="10"/>
      <c r="AA8" s="60">
        <v>9</v>
      </c>
      <c r="AB8" s="1">
        <v>8</v>
      </c>
      <c r="AC8" s="1">
        <v>6</v>
      </c>
      <c r="AD8" s="1">
        <v>5</v>
      </c>
      <c r="AE8" s="1">
        <v>6</v>
      </c>
      <c r="AF8" s="61">
        <v>6</v>
      </c>
      <c r="AG8" s="10"/>
      <c r="AH8" s="10">
        <v>6</v>
      </c>
      <c r="AI8" s="60">
        <v>75.099999999999994</v>
      </c>
      <c r="AJ8" s="1">
        <v>70.7</v>
      </c>
      <c r="AK8" s="1">
        <v>67.3</v>
      </c>
      <c r="AL8" s="1">
        <v>63.7</v>
      </c>
      <c r="AM8" s="1">
        <v>59.3</v>
      </c>
      <c r="AN8" s="1">
        <v>54.6</v>
      </c>
      <c r="AO8" s="1">
        <v>46.4</v>
      </c>
      <c r="AP8" s="1">
        <v>35</v>
      </c>
      <c r="AQ8" s="1">
        <v>21.8</v>
      </c>
      <c r="AR8" s="61">
        <v>10.5</v>
      </c>
      <c r="AS8" s="10"/>
      <c r="AT8" s="60" t="s">
        <v>96</v>
      </c>
      <c r="AU8" s="1">
        <v>184</v>
      </c>
      <c r="AV8" s="1">
        <v>24</v>
      </c>
      <c r="AW8" s="1">
        <v>4235</v>
      </c>
      <c r="AX8" s="1">
        <v>100</v>
      </c>
      <c r="AY8" s="1">
        <v>1</v>
      </c>
      <c r="AZ8" s="1">
        <v>23</v>
      </c>
      <c r="BA8" s="1">
        <v>26.46</v>
      </c>
      <c r="BB8" s="61">
        <v>125.96</v>
      </c>
      <c r="BC8" s="10"/>
      <c r="BD8" s="62" t="s">
        <v>97</v>
      </c>
      <c r="BE8" s="63">
        <v>374</v>
      </c>
      <c r="BF8" s="63">
        <v>7526</v>
      </c>
      <c r="BG8" s="63">
        <v>10287</v>
      </c>
      <c r="BH8" s="63">
        <v>427</v>
      </c>
      <c r="BI8" s="63">
        <v>24.09</v>
      </c>
      <c r="BJ8" s="63">
        <v>8.1999999999999993</v>
      </c>
      <c r="BK8" s="63">
        <v>2</v>
      </c>
      <c r="BL8" s="64">
        <v>0</v>
      </c>
      <c r="BM8" s="10"/>
      <c r="BN8">
        <v>173</v>
      </c>
      <c r="BO8" s="10"/>
    </row>
    <row r="9" spans="1:67" x14ac:dyDescent="0.3">
      <c r="A9" s="10">
        <v>8</v>
      </c>
      <c r="B9" s="60">
        <v>0</v>
      </c>
      <c r="C9" s="1">
        <v>1</v>
      </c>
      <c r="D9" s="1">
        <v>4</v>
      </c>
      <c r="E9" s="1">
        <v>1</v>
      </c>
      <c r="F9" s="1">
        <v>1</v>
      </c>
      <c r="G9" s="61">
        <v>1</v>
      </c>
      <c r="H9" s="10"/>
      <c r="I9" s="84">
        <v>4</v>
      </c>
      <c r="J9" s="10"/>
      <c r="K9" s="60" t="s">
        <v>98</v>
      </c>
      <c r="L9" s="1" t="s">
        <v>99</v>
      </c>
      <c r="M9" s="1" t="s">
        <v>100</v>
      </c>
      <c r="N9" s="1" t="s">
        <v>101</v>
      </c>
      <c r="O9" s="1" t="s">
        <v>102</v>
      </c>
      <c r="P9" s="61" t="s">
        <v>103</v>
      </c>
      <c r="Q9" s="10"/>
      <c r="R9" s="10"/>
      <c r="S9" s="60">
        <v>163</v>
      </c>
      <c r="T9" s="1">
        <v>162</v>
      </c>
      <c r="U9" s="1">
        <v>167</v>
      </c>
      <c r="V9" s="1">
        <v>167</v>
      </c>
      <c r="W9" s="1">
        <v>167</v>
      </c>
      <c r="X9" s="61">
        <v>166</v>
      </c>
      <c r="Y9" s="10"/>
      <c r="Z9" s="10"/>
      <c r="AA9" s="60">
        <v>8</v>
      </c>
      <c r="AB9" s="1">
        <v>7</v>
      </c>
      <c r="AC9" s="1">
        <v>6</v>
      </c>
      <c r="AD9" s="1">
        <v>9</v>
      </c>
      <c r="AE9" s="1">
        <v>9</v>
      </c>
      <c r="AF9" s="61">
        <v>8</v>
      </c>
      <c r="AG9" s="10"/>
      <c r="AH9" s="10">
        <v>7</v>
      </c>
      <c r="AI9" s="60">
        <v>71.5</v>
      </c>
      <c r="AJ9" s="1">
        <v>67.400000000000006</v>
      </c>
      <c r="AK9" s="1">
        <v>63.6</v>
      </c>
      <c r="AL9" s="1">
        <v>60.3</v>
      </c>
      <c r="AM9" s="1">
        <v>56.2</v>
      </c>
      <c r="AN9" s="1">
        <v>51.5</v>
      </c>
      <c r="AO9" s="1">
        <v>44.3</v>
      </c>
      <c r="AP9" s="1">
        <v>33.799999999999997</v>
      </c>
      <c r="AQ9" s="1">
        <v>21</v>
      </c>
      <c r="AR9" s="61">
        <v>9.8000000000000007</v>
      </c>
      <c r="AS9" s="10"/>
      <c r="AT9" s="60" t="s">
        <v>104</v>
      </c>
      <c r="AU9" s="1">
        <v>379</v>
      </c>
      <c r="AV9" s="1">
        <v>105</v>
      </c>
      <c r="AW9" s="1">
        <v>8181</v>
      </c>
      <c r="AX9" s="1">
        <v>89</v>
      </c>
      <c r="AY9" s="1">
        <v>0</v>
      </c>
      <c r="AZ9" s="1">
        <v>41</v>
      </c>
      <c r="BA9" s="1">
        <v>29.85</v>
      </c>
      <c r="BB9" s="61">
        <v>150.80000000000001</v>
      </c>
      <c r="BC9" s="10"/>
      <c r="BD9" s="10"/>
      <c r="BE9" s="10"/>
      <c r="BF9" s="10"/>
      <c r="BG9" s="10"/>
      <c r="BH9" s="10"/>
      <c r="BI9" s="10"/>
      <c r="BJ9" s="10"/>
      <c r="BK9" s="10"/>
      <c r="BL9" s="10"/>
      <c r="BM9" s="10"/>
      <c r="BN9">
        <v>174</v>
      </c>
      <c r="BO9" s="10"/>
    </row>
    <row r="10" spans="1:67" x14ac:dyDescent="0.3">
      <c r="A10" s="10">
        <v>9</v>
      </c>
      <c r="B10" s="60">
        <v>-1</v>
      </c>
      <c r="C10" s="1">
        <v>0</v>
      </c>
      <c r="D10" s="1">
        <v>1</v>
      </c>
      <c r="E10" s="1">
        <v>1</v>
      </c>
      <c r="F10" s="1">
        <v>1</v>
      </c>
      <c r="G10" s="61">
        <v>1</v>
      </c>
      <c r="H10" s="10"/>
      <c r="I10" s="84">
        <v>5</v>
      </c>
      <c r="J10" s="10"/>
      <c r="K10" s="60" t="s">
        <v>105</v>
      </c>
      <c r="L10" s="1" t="s">
        <v>106</v>
      </c>
      <c r="M10" s="1" t="s">
        <v>107</v>
      </c>
      <c r="N10" s="1" t="s">
        <v>108</v>
      </c>
      <c r="O10" s="1" t="s">
        <v>109</v>
      </c>
      <c r="P10" s="61" t="s">
        <v>110</v>
      </c>
      <c r="Q10" s="10"/>
      <c r="R10" s="10"/>
      <c r="S10" s="60">
        <v>159</v>
      </c>
      <c r="T10" s="1">
        <v>157</v>
      </c>
      <c r="U10" s="1">
        <v>157</v>
      </c>
      <c r="V10" s="1">
        <v>157</v>
      </c>
      <c r="W10" s="1">
        <v>157</v>
      </c>
      <c r="X10" s="61">
        <v>157</v>
      </c>
      <c r="Y10" s="10"/>
      <c r="Z10" s="10"/>
      <c r="AA10" s="60">
        <v>8</v>
      </c>
      <c r="AB10" s="1">
        <v>7</v>
      </c>
      <c r="AC10" s="1">
        <v>5</v>
      </c>
      <c r="AD10" s="1">
        <v>5</v>
      </c>
      <c r="AE10" s="1">
        <v>5</v>
      </c>
      <c r="AF10" s="61">
        <v>4</v>
      </c>
      <c r="AG10" s="10"/>
      <c r="AH10" s="10">
        <v>8</v>
      </c>
      <c r="AI10" s="60">
        <v>68.3</v>
      </c>
      <c r="AJ10" s="1">
        <v>63.7</v>
      </c>
      <c r="AK10" s="1">
        <v>60.2</v>
      </c>
      <c r="AL10" s="1">
        <v>56.8</v>
      </c>
      <c r="AM10" s="1">
        <v>52.9</v>
      </c>
      <c r="AN10" s="1">
        <v>47.5</v>
      </c>
      <c r="AO10" s="1">
        <v>41.9</v>
      </c>
      <c r="AP10" s="1">
        <v>32.6</v>
      </c>
      <c r="AQ10" s="1">
        <v>20.2</v>
      </c>
      <c r="AR10" s="61">
        <v>9.1</v>
      </c>
      <c r="AS10" s="10"/>
      <c r="AT10" s="60" t="s">
        <v>111</v>
      </c>
      <c r="AU10" s="1">
        <v>149</v>
      </c>
      <c r="AV10" s="1">
        <v>49</v>
      </c>
      <c r="AW10" s="1">
        <v>1501</v>
      </c>
      <c r="AX10" s="1">
        <v>78</v>
      </c>
      <c r="AY10" s="1">
        <v>0</v>
      </c>
      <c r="AZ10" s="1">
        <v>2</v>
      </c>
      <c r="BA10" s="1">
        <v>15.01</v>
      </c>
      <c r="BB10" s="61">
        <v>130.06</v>
      </c>
      <c r="BC10" s="10"/>
      <c r="BD10" s="10"/>
      <c r="BE10" s="10"/>
      <c r="BF10" s="10"/>
      <c r="BG10" s="10"/>
      <c r="BH10" s="10"/>
      <c r="BI10" s="10"/>
      <c r="BJ10" s="10"/>
      <c r="BK10" s="10"/>
      <c r="BL10" s="10"/>
      <c r="BM10" s="10"/>
      <c r="BN10">
        <v>172</v>
      </c>
      <c r="BO10" s="10"/>
    </row>
    <row r="11" spans="1:67" x14ac:dyDescent="0.3">
      <c r="A11" s="10">
        <v>10</v>
      </c>
      <c r="B11" s="60">
        <v>0</v>
      </c>
      <c r="C11" s="1">
        <v>1</v>
      </c>
      <c r="D11" s="1">
        <v>1</v>
      </c>
      <c r="E11" s="1">
        <v>1</v>
      </c>
      <c r="F11" s="1">
        <v>1</v>
      </c>
      <c r="G11" s="61">
        <v>1</v>
      </c>
      <c r="H11" s="10"/>
      <c r="I11" s="84">
        <v>3</v>
      </c>
      <c r="J11" s="10"/>
      <c r="K11" s="60" t="s">
        <v>112</v>
      </c>
      <c r="L11" s="1" t="s">
        <v>113</v>
      </c>
      <c r="M11" s="1" t="s">
        <v>114</v>
      </c>
      <c r="N11" s="1" t="s">
        <v>115</v>
      </c>
      <c r="O11" s="1" t="s">
        <v>116</v>
      </c>
      <c r="P11" s="61" t="s">
        <v>117</v>
      </c>
      <c r="Q11" s="10"/>
      <c r="R11" s="10"/>
      <c r="S11" s="60">
        <v>155</v>
      </c>
      <c r="T11" s="1">
        <v>155</v>
      </c>
      <c r="U11" s="1">
        <v>155</v>
      </c>
      <c r="V11" s="1">
        <v>155</v>
      </c>
      <c r="W11" s="1">
        <v>155</v>
      </c>
      <c r="X11" s="61">
        <v>155</v>
      </c>
      <c r="Y11" s="10"/>
      <c r="Z11" s="10"/>
      <c r="AA11" s="60">
        <v>8</v>
      </c>
      <c r="AB11" s="1">
        <v>6</v>
      </c>
      <c r="AC11" s="1">
        <v>6</v>
      </c>
      <c r="AD11" s="1">
        <v>6</v>
      </c>
      <c r="AE11" s="1">
        <v>6</v>
      </c>
      <c r="AF11" s="61">
        <v>5</v>
      </c>
      <c r="AG11" s="10"/>
      <c r="AH11" s="10">
        <v>9</v>
      </c>
      <c r="AI11" s="60">
        <v>65</v>
      </c>
      <c r="AJ11" s="1">
        <v>59.9</v>
      </c>
      <c r="AK11" s="1">
        <v>56.6</v>
      </c>
      <c r="AL11" s="1">
        <v>53.3</v>
      </c>
      <c r="AM11" s="1">
        <v>49.7</v>
      </c>
      <c r="AN11" s="1">
        <v>43.9</v>
      </c>
      <c r="AO11" s="1">
        <v>39.299999999999997</v>
      </c>
      <c r="AP11" s="1">
        <v>31.3</v>
      </c>
      <c r="AQ11" s="1">
        <v>19.399999999999999</v>
      </c>
      <c r="AR11" s="61">
        <v>8.5</v>
      </c>
      <c r="AS11" s="10"/>
      <c r="AT11" s="60" t="s">
        <v>118</v>
      </c>
      <c r="AU11" s="1">
        <v>76</v>
      </c>
      <c r="AV11" s="1">
        <v>31</v>
      </c>
      <c r="AW11" s="1">
        <v>324</v>
      </c>
      <c r="AX11" s="1">
        <v>37</v>
      </c>
      <c r="AY11" s="1">
        <v>0</v>
      </c>
      <c r="AZ11" s="1">
        <v>0</v>
      </c>
      <c r="BA11" s="1">
        <v>7.2</v>
      </c>
      <c r="BB11" s="61">
        <v>100.3</v>
      </c>
      <c r="BC11" s="10"/>
      <c r="BD11" s="10"/>
      <c r="BE11" s="10"/>
      <c r="BF11" s="10"/>
      <c r="BG11" s="10"/>
      <c r="BH11" s="10"/>
      <c r="BI11" s="10"/>
      <c r="BJ11" s="10"/>
      <c r="BK11" s="10"/>
      <c r="BL11" s="10"/>
      <c r="BM11" s="10"/>
      <c r="BN11">
        <v>169</v>
      </c>
      <c r="BO11" s="10"/>
    </row>
    <row r="12" spans="1:67" x14ac:dyDescent="0.3">
      <c r="A12" s="10">
        <v>11</v>
      </c>
      <c r="B12" s="60">
        <v>-1</v>
      </c>
      <c r="C12" s="1">
        <v>2</v>
      </c>
      <c r="D12" s="1">
        <v>4</v>
      </c>
      <c r="E12" s="1">
        <v>1</v>
      </c>
      <c r="F12" s="1">
        <v>0</v>
      </c>
      <c r="G12" s="61">
        <v>6</v>
      </c>
      <c r="H12" s="10"/>
      <c r="I12" s="84">
        <v>5</v>
      </c>
      <c r="J12" s="10"/>
      <c r="K12" s="60" t="s">
        <v>119</v>
      </c>
      <c r="L12" s="1" t="s">
        <v>120</v>
      </c>
      <c r="M12" s="1" t="s">
        <v>121</v>
      </c>
      <c r="N12" s="1" t="s">
        <v>122</v>
      </c>
      <c r="O12" s="1" t="s">
        <v>123</v>
      </c>
      <c r="P12" s="61" t="s">
        <v>124</v>
      </c>
      <c r="Q12" s="10"/>
      <c r="R12" s="10"/>
      <c r="S12" s="60">
        <v>146</v>
      </c>
      <c r="T12" s="1">
        <v>148</v>
      </c>
      <c r="U12" s="1">
        <v>152</v>
      </c>
      <c r="V12" s="1">
        <v>152</v>
      </c>
      <c r="W12" s="1">
        <v>150</v>
      </c>
      <c r="X12" s="61">
        <v>157</v>
      </c>
      <c r="Y12" s="10"/>
      <c r="Z12" s="10"/>
      <c r="AA12" s="60">
        <v>8</v>
      </c>
      <c r="AB12" s="1">
        <v>6</v>
      </c>
      <c r="AC12" s="1">
        <v>7</v>
      </c>
      <c r="AD12" s="1">
        <v>11</v>
      </c>
      <c r="AE12" s="1">
        <v>10</v>
      </c>
      <c r="AF12" s="61">
        <v>8</v>
      </c>
      <c r="AG12" s="10"/>
      <c r="AH12" s="10">
        <v>10</v>
      </c>
      <c r="AI12" s="60">
        <v>61.3</v>
      </c>
      <c r="AJ12" s="1">
        <v>56</v>
      </c>
      <c r="AK12" s="1">
        <v>52.6</v>
      </c>
      <c r="AL12" s="1">
        <v>50.1</v>
      </c>
      <c r="AM12" s="1">
        <v>46</v>
      </c>
      <c r="AN12" s="1">
        <v>40.799999999999997</v>
      </c>
      <c r="AO12" s="1">
        <v>36.1</v>
      </c>
      <c r="AP12" s="1">
        <v>30</v>
      </c>
      <c r="AQ12" s="1">
        <v>18.600000000000001</v>
      </c>
      <c r="AR12" s="61">
        <v>7.9</v>
      </c>
      <c r="AS12" s="10"/>
      <c r="AT12" s="60" t="s">
        <v>125</v>
      </c>
      <c r="AU12" s="1">
        <v>36</v>
      </c>
      <c r="AV12" s="1">
        <v>22</v>
      </c>
      <c r="AW12" s="1">
        <v>178</v>
      </c>
      <c r="AX12" s="1">
        <v>28</v>
      </c>
      <c r="AY12" s="1">
        <v>0</v>
      </c>
      <c r="AZ12" s="1">
        <v>0</v>
      </c>
      <c r="BA12" s="1">
        <v>12.71</v>
      </c>
      <c r="BB12" s="61">
        <v>99.44</v>
      </c>
      <c r="BC12" s="10"/>
      <c r="BD12" s="10"/>
      <c r="BE12" s="10"/>
      <c r="BF12" s="10"/>
      <c r="BG12" s="10"/>
      <c r="BH12" s="10"/>
      <c r="BI12" s="10"/>
      <c r="BJ12" s="10"/>
      <c r="BK12" s="10"/>
      <c r="BL12" s="10"/>
      <c r="BM12" s="10"/>
      <c r="BN12">
        <v>167</v>
      </c>
      <c r="BO12" s="10"/>
    </row>
    <row r="13" spans="1:67" ht="15" thickBot="1" x14ac:dyDescent="0.35">
      <c r="A13" s="10">
        <v>12</v>
      </c>
      <c r="B13" s="60">
        <v>4</v>
      </c>
      <c r="C13" s="1">
        <v>1</v>
      </c>
      <c r="D13" s="1">
        <v>1</v>
      </c>
      <c r="E13" s="1">
        <v>0</v>
      </c>
      <c r="F13" s="1">
        <v>-2</v>
      </c>
      <c r="G13" s="61">
        <v>1</v>
      </c>
      <c r="H13" s="10"/>
      <c r="I13" s="84">
        <v>3</v>
      </c>
      <c r="J13" s="10"/>
      <c r="K13" s="60" t="s">
        <v>126</v>
      </c>
      <c r="L13" s="1" t="s">
        <v>127</v>
      </c>
      <c r="M13" s="1" t="s">
        <v>128</v>
      </c>
      <c r="N13" s="1" t="s">
        <v>129</v>
      </c>
      <c r="O13" s="1" t="s">
        <v>130</v>
      </c>
      <c r="P13" s="61" t="s">
        <v>131</v>
      </c>
      <c r="Q13" s="10"/>
      <c r="R13" s="10"/>
      <c r="S13" s="60">
        <v>162</v>
      </c>
      <c r="T13" s="1">
        <v>161</v>
      </c>
      <c r="U13" s="1">
        <v>161</v>
      </c>
      <c r="V13" s="1">
        <v>160</v>
      </c>
      <c r="W13" s="1">
        <v>151</v>
      </c>
      <c r="X13" s="61">
        <v>151</v>
      </c>
      <c r="Y13" s="10"/>
      <c r="Z13" s="10"/>
      <c r="AA13" s="60">
        <v>8</v>
      </c>
      <c r="AB13" s="1">
        <v>15</v>
      </c>
      <c r="AC13" s="1">
        <v>12</v>
      </c>
      <c r="AD13" s="1">
        <v>11</v>
      </c>
      <c r="AE13" s="1">
        <v>9</v>
      </c>
      <c r="AF13" s="61">
        <v>7</v>
      </c>
      <c r="AG13" s="10"/>
      <c r="AH13" s="10">
        <v>11</v>
      </c>
      <c r="AI13" s="60">
        <v>57.9</v>
      </c>
      <c r="AJ13" s="1">
        <v>52.3</v>
      </c>
      <c r="AK13" s="1">
        <v>47.9</v>
      </c>
      <c r="AL13" s="1">
        <v>46.1</v>
      </c>
      <c r="AM13" s="1">
        <v>42.5</v>
      </c>
      <c r="AN13" s="1">
        <v>37.799999999999997</v>
      </c>
      <c r="AO13" s="1">
        <v>33.1</v>
      </c>
      <c r="AP13" s="1">
        <v>28.3</v>
      </c>
      <c r="AQ13" s="1">
        <v>17.7</v>
      </c>
      <c r="AR13" s="61">
        <v>7.2</v>
      </c>
      <c r="AS13" s="10"/>
      <c r="AT13" s="62" t="s">
        <v>132</v>
      </c>
      <c r="AU13" s="63">
        <v>50</v>
      </c>
      <c r="AV13" s="63">
        <v>25</v>
      </c>
      <c r="AW13" s="63">
        <v>108</v>
      </c>
      <c r="AX13" s="63">
        <v>18</v>
      </c>
      <c r="AY13" s="63">
        <v>0</v>
      </c>
      <c r="AZ13" s="63">
        <v>0</v>
      </c>
      <c r="BA13" s="63">
        <v>4.32</v>
      </c>
      <c r="BB13" s="64">
        <v>72.97</v>
      </c>
      <c r="BC13" s="10"/>
      <c r="BD13" s="10"/>
      <c r="BE13" s="10"/>
      <c r="BF13" s="10"/>
      <c r="BG13" s="10"/>
      <c r="BH13" s="10"/>
      <c r="BI13" s="10"/>
      <c r="BJ13" s="10"/>
      <c r="BK13" s="10"/>
      <c r="BL13" s="10"/>
      <c r="BM13" s="10"/>
      <c r="BN13">
        <v>176</v>
      </c>
      <c r="BO13" s="10"/>
    </row>
    <row r="14" spans="1:67" x14ac:dyDescent="0.3">
      <c r="A14" s="10">
        <v>13</v>
      </c>
      <c r="B14" s="60">
        <v>1</v>
      </c>
      <c r="C14" s="1">
        <v>0</v>
      </c>
      <c r="D14" s="1">
        <v>0</v>
      </c>
      <c r="E14" s="1">
        <v>1</v>
      </c>
      <c r="F14" s="1">
        <v>1</v>
      </c>
      <c r="G14" s="61">
        <v>1</v>
      </c>
      <c r="H14" s="10"/>
      <c r="I14" s="84">
        <v>5</v>
      </c>
      <c r="J14" s="10"/>
      <c r="K14" s="60" t="s">
        <v>133</v>
      </c>
      <c r="L14" s="1" t="s">
        <v>134</v>
      </c>
      <c r="M14" s="1" t="s">
        <v>135</v>
      </c>
      <c r="N14" s="1" t="s">
        <v>136</v>
      </c>
      <c r="O14" s="1" t="s">
        <v>137</v>
      </c>
      <c r="P14" s="61" t="s">
        <v>138</v>
      </c>
      <c r="Q14" s="10"/>
      <c r="R14" s="10"/>
      <c r="S14" s="60">
        <v>151</v>
      </c>
      <c r="T14" s="1">
        <v>150</v>
      </c>
      <c r="U14" s="1">
        <v>149</v>
      </c>
      <c r="V14" s="1">
        <v>149</v>
      </c>
      <c r="W14" s="1">
        <v>149</v>
      </c>
      <c r="X14" s="61">
        <v>149</v>
      </c>
      <c r="Y14" s="10"/>
      <c r="Z14" s="10"/>
      <c r="AA14" s="60">
        <v>8</v>
      </c>
      <c r="AB14" s="1">
        <v>7</v>
      </c>
      <c r="AC14" s="1">
        <v>6</v>
      </c>
      <c r="AD14" s="1">
        <v>5</v>
      </c>
      <c r="AE14" s="1">
        <v>4</v>
      </c>
      <c r="AF14" s="61">
        <v>4</v>
      </c>
      <c r="AG14" s="10"/>
      <c r="AH14" s="10">
        <v>12</v>
      </c>
      <c r="AI14" s="60">
        <v>54</v>
      </c>
      <c r="AJ14" s="1">
        <v>48.3</v>
      </c>
      <c r="AK14" s="1">
        <v>44.3</v>
      </c>
      <c r="AL14" s="1">
        <v>41.7</v>
      </c>
      <c r="AM14" s="1">
        <v>38.9</v>
      </c>
      <c r="AN14" s="1">
        <v>34.9</v>
      </c>
      <c r="AO14" s="1">
        <v>30.2</v>
      </c>
      <c r="AP14" s="1">
        <v>26.1</v>
      </c>
      <c r="AQ14" s="1">
        <v>16.7</v>
      </c>
      <c r="AR14" s="61">
        <v>6.6</v>
      </c>
      <c r="AS14" s="10"/>
      <c r="AT14" s="10"/>
      <c r="AU14" s="10"/>
      <c r="AV14" s="10"/>
      <c r="AW14" s="10"/>
      <c r="AX14" s="10"/>
      <c r="AY14" s="10"/>
      <c r="AZ14" s="10"/>
      <c r="BA14" s="10"/>
      <c r="BB14" s="10"/>
      <c r="BC14" s="10"/>
      <c r="BD14" s="10"/>
      <c r="BE14" s="10"/>
      <c r="BF14" s="10"/>
      <c r="BG14" s="10"/>
      <c r="BH14" s="10"/>
      <c r="BI14" s="10"/>
      <c r="BJ14" s="10"/>
      <c r="BK14" s="10"/>
      <c r="BL14" s="10"/>
      <c r="BM14" s="10"/>
      <c r="BN14">
        <v>181</v>
      </c>
      <c r="BO14" s="10"/>
    </row>
    <row r="15" spans="1:67" x14ac:dyDescent="0.3">
      <c r="A15" s="10">
        <v>14</v>
      </c>
      <c r="B15" s="60">
        <v>1</v>
      </c>
      <c r="C15" s="1">
        <v>0</v>
      </c>
      <c r="D15" s="1">
        <v>-1</v>
      </c>
      <c r="E15" s="1">
        <v>0</v>
      </c>
      <c r="F15" s="1">
        <v>1</v>
      </c>
      <c r="G15" s="61">
        <v>0</v>
      </c>
      <c r="H15" s="10"/>
      <c r="I15" s="84">
        <v>6</v>
      </c>
      <c r="J15" s="10"/>
      <c r="K15" s="60" t="s">
        <v>139</v>
      </c>
      <c r="L15" s="1" t="s">
        <v>140</v>
      </c>
      <c r="M15" s="1" t="s">
        <v>141</v>
      </c>
      <c r="N15" s="1" t="s">
        <v>142</v>
      </c>
      <c r="O15" s="1" t="s">
        <v>143</v>
      </c>
      <c r="P15" s="61" t="s">
        <v>144</v>
      </c>
      <c r="Q15" s="10"/>
      <c r="R15" s="10"/>
      <c r="S15" s="60">
        <v>149</v>
      </c>
      <c r="T15" s="1">
        <v>148</v>
      </c>
      <c r="U15" s="1">
        <v>139</v>
      </c>
      <c r="V15" s="1">
        <v>138</v>
      </c>
      <c r="W15" s="1">
        <v>138</v>
      </c>
      <c r="X15" s="61">
        <v>137</v>
      </c>
      <c r="Y15" s="10"/>
      <c r="Z15" s="10"/>
      <c r="AA15" s="60">
        <v>7</v>
      </c>
      <c r="AB15" s="1">
        <v>7</v>
      </c>
      <c r="AC15" s="1">
        <v>6</v>
      </c>
      <c r="AD15" s="1">
        <v>4</v>
      </c>
      <c r="AE15" s="1">
        <v>3</v>
      </c>
      <c r="AF15" s="61">
        <v>3</v>
      </c>
      <c r="AG15" s="10"/>
      <c r="AH15" s="10">
        <v>13</v>
      </c>
      <c r="AI15" s="60">
        <v>49.3</v>
      </c>
      <c r="AJ15" s="1">
        <v>44.2</v>
      </c>
      <c r="AK15" s="1">
        <v>40.200000000000003</v>
      </c>
      <c r="AL15" s="1">
        <v>37.4</v>
      </c>
      <c r="AM15" s="1">
        <v>35.4</v>
      </c>
      <c r="AN15" s="1">
        <v>32.1</v>
      </c>
      <c r="AO15" s="1">
        <v>27.2</v>
      </c>
      <c r="AP15" s="1">
        <v>23.4</v>
      </c>
      <c r="AQ15" s="1">
        <v>15.7</v>
      </c>
      <c r="AR15" s="61">
        <v>5.9</v>
      </c>
      <c r="AS15" s="10"/>
      <c r="AT15" s="10"/>
      <c r="AU15" s="10"/>
      <c r="AV15" s="10"/>
      <c r="AW15" s="10"/>
      <c r="AX15" s="10"/>
      <c r="AY15" s="10"/>
      <c r="AZ15" s="10"/>
      <c r="BA15" s="10"/>
      <c r="BB15" s="10"/>
      <c r="BC15" s="10"/>
      <c r="BD15" s="10"/>
      <c r="BE15" s="10"/>
      <c r="BF15" s="10"/>
      <c r="BG15" s="10"/>
      <c r="BH15" s="10"/>
      <c r="BI15" s="10"/>
      <c r="BJ15" s="10"/>
      <c r="BK15" s="10"/>
      <c r="BL15" s="10"/>
      <c r="BM15" s="10"/>
      <c r="BN15">
        <v>179</v>
      </c>
      <c r="BO15" s="10"/>
    </row>
    <row r="16" spans="1:67" x14ac:dyDescent="0.3">
      <c r="A16" s="10">
        <v>15</v>
      </c>
      <c r="B16" s="60">
        <v>0</v>
      </c>
      <c r="C16" s="1">
        <v>-2</v>
      </c>
      <c r="D16" s="1">
        <v>1</v>
      </c>
      <c r="E16" s="1">
        <v>0</v>
      </c>
      <c r="F16" s="1">
        <v>1</v>
      </c>
      <c r="G16" s="61">
        <v>6</v>
      </c>
      <c r="H16" s="10"/>
      <c r="I16" s="84">
        <v>2</v>
      </c>
      <c r="J16" s="10"/>
      <c r="K16" s="60" t="s">
        <v>145</v>
      </c>
      <c r="L16" s="1" t="s">
        <v>146</v>
      </c>
      <c r="M16" s="1" t="s">
        <v>147</v>
      </c>
      <c r="N16" s="1" t="s">
        <v>148</v>
      </c>
      <c r="O16" s="1" t="s">
        <v>149</v>
      </c>
      <c r="P16" s="61" t="s">
        <v>150</v>
      </c>
      <c r="Q16" s="10"/>
      <c r="R16" s="10"/>
      <c r="S16" s="60">
        <v>136</v>
      </c>
      <c r="T16" s="1">
        <v>129</v>
      </c>
      <c r="U16" s="1">
        <v>129</v>
      </c>
      <c r="V16" s="1">
        <v>128</v>
      </c>
      <c r="W16" s="1">
        <v>128</v>
      </c>
      <c r="X16" s="61">
        <v>134</v>
      </c>
      <c r="Y16" s="10"/>
      <c r="Z16" s="10"/>
      <c r="AA16" s="60">
        <v>7</v>
      </c>
      <c r="AB16" s="1">
        <v>6</v>
      </c>
      <c r="AC16" s="1">
        <v>4</v>
      </c>
      <c r="AD16" s="1">
        <v>4</v>
      </c>
      <c r="AE16" s="1">
        <v>3</v>
      </c>
      <c r="AF16" s="61">
        <v>3</v>
      </c>
      <c r="AG16" s="10"/>
      <c r="AH16" s="10">
        <v>14</v>
      </c>
      <c r="AI16" s="60">
        <v>41.7</v>
      </c>
      <c r="AJ16" s="1">
        <v>38.5</v>
      </c>
      <c r="AK16" s="1">
        <v>35.700000000000003</v>
      </c>
      <c r="AL16" s="1">
        <v>33</v>
      </c>
      <c r="AM16" s="1">
        <v>31.7</v>
      </c>
      <c r="AN16" s="1">
        <v>29</v>
      </c>
      <c r="AO16" s="1">
        <v>24.2</v>
      </c>
      <c r="AP16" s="1">
        <v>20</v>
      </c>
      <c r="AQ16" s="1">
        <v>14.5</v>
      </c>
      <c r="AR16" s="61">
        <v>5.2</v>
      </c>
      <c r="AS16" s="10"/>
      <c r="AT16" s="10"/>
      <c r="AU16" s="10"/>
      <c r="AV16" s="10"/>
      <c r="AW16" s="10"/>
      <c r="AX16" s="10"/>
      <c r="AY16" s="10"/>
      <c r="AZ16" s="10"/>
      <c r="BA16" s="10"/>
      <c r="BB16" s="10"/>
      <c r="BC16" s="10"/>
      <c r="BD16" s="10"/>
      <c r="BE16" s="10"/>
      <c r="BF16" s="10"/>
      <c r="BG16" s="10"/>
      <c r="BH16" s="10"/>
      <c r="BI16" s="10"/>
      <c r="BJ16" s="10"/>
      <c r="BK16" s="10"/>
      <c r="BL16" s="10"/>
      <c r="BM16" s="10"/>
      <c r="BN16">
        <v>178</v>
      </c>
      <c r="BO16" s="10"/>
    </row>
    <row r="17" spans="1:67" x14ac:dyDescent="0.3">
      <c r="A17" s="10">
        <v>16</v>
      </c>
      <c r="B17" s="60">
        <v>0</v>
      </c>
      <c r="C17" s="1">
        <v>0</v>
      </c>
      <c r="D17" s="1">
        <v>1</v>
      </c>
      <c r="E17" s="1">
        <v>0</v>
      </c>
      <c r="F17" s="1">
        <v>4</v>
      </c>
      <c r="G17" s="61">
        <v>0</v>
      </c>
      <c r="H17" s="10"/>
      <c r="I17" s="84">
        <v>6</v>
      </c>
      <c r="J17" s="10"/>
      <c r="K17" s="60" t="s">
        <v>151</v>
      </c>
      <c r="L17" s="1" t="s">
        <v>152</v>
      </c>
      <c r="M17" s="1" t="s">
        <v>153</v>
      </c>
      <c r="N17" s="1" t="s">
        <v>154</v>
      </c>
      <c r="O17" s="1" t="s">
        <v>155</v>
      </c>
      <c r="P17" s="61" t="s">
        <v>156</v>
      </c>
      <c r="Q17" s="10"/>
      <c r="R17" s="10"/>
      <c r="S17" s="60">
        <v>133</v>
      </c>
      <c r="T17" s="1">
        <v>132</v>
      </c>
      <c r="U17" s="1">
        <v>133</v>
      </c>
      <c r="V17" s="1">
        <v>132</v>
      </c>
      <c r="W17" s="1">
        <v>135</v>
      </c>
      <c r="X17" s="61">
        <v>135</v>
      </c>
      <c r="Y17" s="10"/>
      <c r="Z17" s="10"/>
      <c r="AA17" s="60">
        <v>7</v>
      </c>
      <c r="AB17" s="1">
        <v>6</v>
      </c>
      <c r="AC17" s="1">
        <v>4</v>
      </c>
      <c r="AD17" s="1">
        <v>4</v>
      </c>
      <c r="AE17" s="1">
        <v>3</v>
      </c>
      <c r="AF17" s="61">
        <v>6</v>
      </c>
      <c r="AG17" s="10"/>
      <c r="AH17" s="10">
        <v>15</v>
      </c>
      <c r="AI17" s="60">
        <v>36.200000000000003</v>
      </c>
      <c r="AJ17" s="1">
        <v>33.4</v>
      </c>
      <c r="AK17" s="1">
        <v>31</v>
      </c>
      <c r="AL17" s="1">
        <v>28.6</v>
      </c>
      <c r="AM17" s="1">
        <v>27.3</v>
      </c>
      <c r="AN17" s="1">
        <v>25.5</v>
      </c>
      <c r="AO17" s="1">
        <v>21.5</v>
      </c>
      <c r="AP17" s="1">
        <v>17</v>
      </c>
      <c r="AQ17" s="1">
        <v>12.2</v>
      </c>
      <c r="AR17" s="61">
        <v>4.4000000000000004</v>
      </c>
      <c r="AS17" s="10"/>
      <c r="AT17" s="10"/>
      <c r="AU17" s="10"/>
      <c r="AV17" s="10"/>
      <c r="AW17" s="10"/>
      <c r="AX17" s="10"/>
      <c r="AY17" s="10"/>
      <c r="AZ17" s="10"/>
      <c r="BA17" s="10"/>
      <c r="BB17" s="10"/>
      <c r="BC17" s="10"/>
      <c r="BD17" s="10"/>
      <c r="BE17" s="10"/>
      <c r="BF17" s="10"/>
      <c r="BG17" s="10"/>
      <c r="BH17" s="10"/>
      <c r="BI17" s="10"/>
      <c r="BJ17" s="10"/>
      <c r="BK17" s="10"/>
      <c r="BL17" s="10"/>
      <c r="BM17" s="10"/>
      <c r="BN17">
        <v>176</v>
      </c>
      <c r="BO17" s="10"/>
    </row>
    <row r="18" spans="1:67" x14ac:dyDescent="0.3">
      <c r="A18" s="10">
        <v>17</v>
      </c>
      <c r="B18" s="60">
        <v>1</v>
      </c>
      <c r="C18" s="1">
        <v>0</v>
      </c>
      <c r="D18" s="1">
        <v>0</v>
      </c>
      <c r="E18" s="1">
        <v>1</v>
      </c>
      <c r="F18" s="1">
        <v>4</v>
      </c>
      <c r="G18" s="61">
        <v>0</v>
      </c>
      <c r="H18" s="10"/>
      <c r="I18" s="84">
        <v>2</v>
      </c>
      <c r="J18" s="10"/>
      <c r="K18" s="60" t="s">
        <v>157</v>
      </c>
      <c r="L18" s="1" t="s">
        <v>158</v>
      </c>
      <c r="M18" s="1" t="s">
        <v>159</v>
      </c>
      <c r="N18" s="1" t="s">
        <v>160</v>
      </c>
      <c r="O18" s="1" t="s">
        <v>161</v>
      </c>
      <c r="P18" s="61" t="s">
        <v>162</v>
      </c>
      <c r="Q18" s="10"/>
      <c r="R18" s="10"/>
      <c r="S18" s="60">
        <v>135</v>
      </c>
      <c r="T18" s="1">
        <v>134</v>
      </c>
      <c r="U18" s="1">
        <v>133</v>
      </c>
      <c r="V18" s="1">
        <v>133</v>
      </c>
      <c r="W18" s="1">
        <v>137</v>
      </c>
      <c r="X18" s="61">
        <v>136</v>
      </c>
      <c r="Y18" s="10"/>
      <c r="Z18" s="10"/>
      <c r="AA18" s="60">
        <v>7</v>
      </c>
      <c r="AB18" s="1">
        <v>7</v>
      </c>
      <c r="AC18" s="1">
        <v>5</v>
      </c>
      <c r="AD18" s="1">
        <v>4</v>
      </c>
      <c r="AE18" s="1">
        <v>4</v>
      </c>
      <c r="AF18" s="61">
        <v>7</v>
      </c>
      <c r="AG18" s="10"/>
      <c r="AH18" s="10">
        <v>16</v>
      </c>
      <c r="AI18" s="60">
        <v>30.8</v>
      </c>
      <c r="AJ18" s="1">
        <v>28</v>
      </c>
      <c r="AK18" s="1">
        <v>26.1</v>
      </c>
      <c r="AL18" s="1">
        <v>24.1</v>
      </c>
      <c r="AM18" s="1">
        <v>22.4</v>
      </c>
      <c r="AN18" s="1">
        <v>20.7</v>
      </c>
      <c r="AO18" s="1">
        <v>18.3</v>
      </c>
      <c r="AP18" s="1">
        <v>14.2</v>
      </c>
      <c r="AQ18" s="1">
        <v>10</v>
      </c>
      <c r="AR18" s="61">
        <v>3.5</v>
      </c>
      <c r="AS18" s="10"/>
      <c r="AT18" s="10"/>
      <c r="AU18" s="10"/>
      <c r="AV18" s="10"/>
      <c r="AW18" s="10"/>
      <c r="AX18" s="10"/>
      <c r="AY18" s="10"/>
      <c r="AZ18" s="10"/>
      <c r="BA18" s="10"/>
      <c r="BB18" s="10"/>
      <c r="BC18" s="10"/>
      <c r="BD18" s="10"/>
      <c r="BE18" s="10"/>
      <c r="BF18" s="10"/>
      <c r="BG18" s="10"/>
      <c r="BH18" s="10"/>
      <c r="BI18" s="10"/>
      <c r="BJ18" s="10"/>
      <c r="BK18" s="10"/>
      <c r="BL18" s="10"/>
      <c r="BM18" s="10"/>
      <c r="BN18">
        <v>175</v>
      </c>
      <c r="BO18" s="10"/>
    </row>
    <row r="19" spans="1:67" x14ac:dyDescent="0.3">
      <c r="A19" s="10">
        <v>18</v>
      </c>
      <c r="B19" s="60">
        <v>0</v>
      </c>
      <c r="C19" s="1">
        <v>1</v>
      </c>
      <c r="D19" s="1">
        <v>1</v>
      </c>
      <c r="E19" s="1">
        <v>1</v>
      </c>
      <c r="F19" s="1">
        <v>1</v>
      </c>
      <c r="G19" s="61">
        <v>-1</v>
      </c>
      <c r="H19" s="10"/>
      <c r="I19" s="84">
        <v>6</v>
      </c>
      <c r="J19" s="10"/>
      <c r="K19" s="60" t="s">
        <v>163</v>
      </c>
      <c r="L19" s="1" t="s">
        <v>164</v>
      </c>
      <c r="M19" s="1" t="s">
        <v>165</v>
      </c>
      <c r="N19" s="1" t="s">
        <v>166</v>
      </c>
      <c r="O19" s="1" t="s">
        <v>167</v>
      </c>
      <c r="P19" s="61" t="s">
        <v>168</v>
      </c>
      <c r="Q19" s="10"/>
      <c r="R19" s="10"/>
      <c r="S19" s="60">
        <v>136</v>
      </c>
      <c r="T19" s="1">
        <v>136</v>
      </c>
      <c r="U19" s="1">
        <v>136</v>
      </c>
      <c r="V19" s="1">
        <v>137</v>
      </c>
      <c r="W19" s="1">
        <v>137</v>
      </c>
      <c r="X19" s="61">
        <v>132</v>
      </c>
      <c r="Y19" s="10"/>
      <c r="Z19" s="10"/>
      <c r="AA19" s="60">
        <v>7</v>
      </c>
      <c r="AB19" s="1">
        <v>6</v>
      </c>
      <c r="AC19" s="1">
        <v>6</v>
      </c>
      <c r="AD19" s="1">
        <v>5</v>
      </c>
      <c r="AE19" s="1">
        <v>5</v>
      </c>
      <c r="AF19" s="61">
        <v>5</v>
      </c>
      <c r="AG19" s="10"/>
      <c r="AH19" s="10">
        <v>17</v>
      </c>
      <c r="AI19" s="60">
        <v>25.4</v>
      </c>
      <c r="AJ19" s="1">
        <v>22.8</v>
      </c>
      <c r="AK19" s="1">
        <v>21.1</v>
      </c>
      <c r="AL19" s="1">
        <v>19.399999999999999</v>
      </c>
      <c r="AM19" s="1">
        <v>17.7</v>
      </c>
      <c r="AN19" s="1">
        <v>16.5</v>
      </c>
      <c r="AO19" s="1">
        <v>14.4</v>
      </c>
      <c r="AP19" s="1">
        <v>11.6</v>
      </c>
      <c r="AQ19" s="1">
        <v>7.9</v>
      </c>
      <c r="AR19" s="61">
        <v>2.5</v>
      </c>
      <c r="AS19" s="10"/>
      <c r="AT19" s="10"/>
      <c r="AU19" s="10"/>
      <c r="AV19" s="10"/>
      <c r="AW19" s="10"/>
      <c r="AX19" s="10"/>
      <c r="AY19" s="10"/>
      <c r="AZ19" s="10"/>
      <c r="BA19" s="10"/>
      <c r="BB19" s="10"/>
      <c r="BC19" s="10"/>
      <c r="BD19" s="10"/>
      <c r="BE19" s="10"/>
      <c r="BF19" s="10"/>
      <c r="BG19" s="10"/>
      <c r="BH19" s="10"/>
      <c r="BI19" s="10"/>
      <c r="BJ19" s="10"/>
      <c r="BK19" s="10"/>
      <c r="BL19" s="10"/>
      <c r="BM19" s="10"/>
      <c r="BN19">
        <v>173</v>
      </c>
      <c r="BO19" s="10"/>
    </row>
    <row r="20" spans="1:67" x14ac:dyDescent="0.3">
      <c r="A20" s="10">
        <v>19</v>
      </c>
      <c r="B20" s="60">
        <v>0</v>
      </c>
      <c r="C20" s="1">
        <v>1</v>
      </c>
      <c r="D20" s="1">
        <v>1</v>
      </c>
      <c r="E20" s="1">
        <v>6</v>
      </c>
      <c r="F20" s="1">
        <v>1</v>
      </c>
      <c r="G20" s="61">
        <v>4</v>
      </c>
      <c r="H20" s="10"/>
      <c r="I20" s="84">
        <v>5</v>
      </c>
      <c r="J20" s="10"/>
      <c r="K20" s="60" t="s">
        <v>169</v>
      </c>
      <c r="L20" s="1" t="s">
        <v>170</v>
      </c>
      <c r="M20" s="1" t="s">
        <v>171</v>
      </c>
      <c r="N20" s="1" t="s">
        <v>172</v>
      </c>
      <c r="O20" s="1" t="s">
        <v>173</v>
      </c>
      <c r="P20" s="61" t="s">
        <v>174</v>
      </c>
      <c r="Q20" s="10"/>
      <c r="R20" s="10"/>
      <c r="S20" s="60">
        <v>132</v>
      </c>
      <c r="T20" s="1">
        <v>132</v>
      </c>
      <c r="U20" s="1">
        <v>133</v>
      </c>
      <c r="V20" s="1">
        <v>138</v>
      </c>
      <c r="W20" s="1">
        <v>139</v>
      </c>
      <c r="X20" s="61">
        <v>143</v>
      </c>
      <c r="Y20" s="10"/>
      <c r="Z20" s="10"/>
      <c r="AA20" s="60">
        <v>7</v>
      </c>
      <c r="AB20" s="1">
        <v>6</v>
      </c>
      <c r="AC20" s="1">
        <v>5</v>
      </c>
      <c r="AD20" s="1">
        <v>5</v>
      </c>
      <c r="AE20" s="1">
        <v>11</v>
      </c>
      <c r="AF20" s="61">
        <v>10</v>
      </c>
      <c r="AG20" s="10"/>
      <c r="AH20" s="10">
        <v>18</v>
      </c>
      <c r="AI20" s="60">
        <v>19.7</v>
      </c>
      <c r="AJ20" s="1">
        <v>17.2</v>
      </c>
      <c r="AK20" s="1">
        <v>15.5</v>
      </c>
      <c r="AL20" s="1">
        <v>14.1</v>
      </c>
      <c r="AM20" s="1">
        <v>12.7</v>
      </c>
      <c r="AN20" s="1">
        <v>11.9</v>
      </c>
      <c r="AO20" s="1">
        <v>10.6</v>
      </c>
      <c r="AP20" s="1">
        <v>9.3000000000000007</v>
      </c>
      <c r="AQ20" s="1">
        <v>6.2</v>
      </c>
      <c r="AR20" s="61">
        <v>1.6</v>
      </c>
      <c r="AS20" s="10"/>
      <c r="AT20" s="10"/>
      <c r="AU20" s="10"/>
      <c r="AV20" s="10"/>
      <c r="AW20" s="10"/>
      <c r="AX20" s="10"/>
      <c r="AY20" s="10"/>
      <c r="AZ20" s="10"/>
      <c r="BA20" s="10"/>
      <c r="BB20" s="10"/>
      <c r="BC20" s="10"/>
      <c r="BD20" s="10"/>
      <c r="BE20" s="10"/>
      <c r="BF20" s="10"/>
      <c r="BG20" s="10"/>
      <c r="BH20" s="10"/>
      <c r="BI20" s="10"/>
      <c r="BJ20" s="10"/>
      <c r="BK20" s="10"/>
      <c r="BL20" s="10"/>
      <c r="BM20" s="10"/>
      <c r="BN20">
        <v>178</v>
      </c>
      <c r="BO20" s="10"/>
    </row>
    <row r="21" spans="1:67" ht="15" thickBot="1" x14ac:dyDescent="0.35">
      <c r="A21" s="10">
        <v>20</v>
      </c>
      <c r="B21" s="62">
        <v>1</v>
      </c>
      <c r="C21" s="63">
        <v>4</v>
      </c>
      <c r="D21" s="63">
        <v>1</v>
      </c>
      <c r="E21" s="63">
        <v>-1</v>
      </c>
      <c r="F21" s="63">
        <v>1</v>
      </c>
      <c r="G21" s="64">
        <v>0</v>
      </c>
      <c r="H21" s="10"/>
      <c r="I21" s="85">
        <v>4</v>
      </c>
      <c r="J21" s="10"/>
      <c r="K21" s="62" t="s">
        <v>175</v>
      </c>
      <c r="L21" s="63" t="s">
        <v>176</v>
      </c>
      <c r="M21" s="63" t="s">
        <v>177</v>
      </c>
      <c r="N21" s="63" t="s">
        <v>178</v>
      </c>
      <c r="O21" s="63" t="s">
        <v>179</v>
      </c>
      <c r="P21" s="64" t="s">
        <v>180</v>
      </c>
      <c r="Q21" s="10"/>
      <c r="R21" s="10"/>
      <c r="S21" s="62">
        <v>143</v>
      </c>
      <c r="T21" s="63">
        <v>146</v>
      </c>
      <c r="U21" s="63">
        <v>146</v>
      </c>
      <c r="V21" s="63">
        <v>143</v>
      </c>
      <c r="W21" s="63">
        <v>143</v>
      </c>
      <c r="X21" s="64">
        <v>143</v>
      </c>
      <c r="Y21" s="10"/>
      <c r="Z21" s="10"/>
      <c r="AA21" s="62">
        <v>7</v>
      </c>
      <c r="AB21" s="63">
        <v>7</v>
      </c>
      <c r="AC21" s="63">
        <v>12</v>
      </c>
      <c r="AD21" s="63">
        <v>10</v>
      </c>
      <c r="AE21" s="63">
        <v>9</v>
      </c>
      <c r="AF21" s="64">
        <v>8</v>
      </c>
      <c r="AG21" s="10"/>
      <c r="AH21" s="10">
        <v>19</v>
      </c>
      <c r="AI21" s="60">
        <v>13.7</v>
      </c>
      <c r="AJ21" s="1">
        <v>11.3</v>
      </c>
      <c r="AK21" s="1">
        <v>9.6999999999999993</v>
      </c>
      <c r="AL21" s="1">
        <v>8.5</v>
      </c>
      <c r="AM21" s="1">
        <v>7.3</v>
      </c>
      <c r="AN21" s="1">
        <v>6.7</v>
      </c>
      <c r="AO21" s="1">
        <v>6</v>
      </c>
      <c r="AP21" s="1">
        <v>5.2</v>
      </c>
      <c r="AQ21" s="1">
        <v>4.2</v>
      </c>
      <c r="AR21" s="61">
        <v>0.9</v>
      </c>
      <c r="AS21" s="10"/>
      <c r="AT21" s="10"/>
      <c r="AU21" s="10"/>
      <c r="AV21" s="10"/>
      <c r="AW21" s="10"/>
      <c r="AX21" s="10"/>
      <c r="AY21" s="10"/>
      <c r="AZ21" s="10"/>
      <c r="BA21" s="10"/>
      <c r="BB21" s="10"/>
      <c r="BC21" s="10"/>
      <c r="BD21" s="10"/>
      <c r="BE21" s="10"/>
      <c r="BF21" s="10"/>
      <c r="BG21" s="10"/>
      <c r="BH21" s="10"/>
      <c r="BI21" s="10"/>
      <c r="BJ21" s="10"/>
      <c r="BK21" s="10"/>
      <c r="BL21" s="10"/>
      <c r="BM21" s="10"/>
      <c r="BN21">
        <v>176</v>
      </c>
      <c r="BO21" s="10"/>
    </row>
    <row r="22" spans="1:67" ht="15" thickBot="1" x14ac:dyDescent="0.35">
      <c r="A22" s="10"/>
      <c r="B22" s="1"/>
      <c r="C22" s="1"/>
      <c r="D22" s="1"/>
      <c r="E22" s="1"/>
      <c r="F22" s="1"/>
      <c r="G22" s="1"/>
      <c r="H22" s="1"/>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62">
        <v>0</v>
      </c>
      <c r="AJ22" s="63">
        <v>0</v>
      </c>
      <c r="AK22" s="63">
        <v>0</v>
      </c>
      <c r="AL22" s="63">
        <v>0</v>
      </c>
      <c r="AM22" s="63">
        <v>0</v>
      </c>
      <c r="AN22" s="63">
        <v>0</v>
      </c>
      <c r="AO22" s="63">
        <v>0</v>
      </c>
      <c r="AP22" s="63">
        <v>0</v>
      </c>
      <c r="AQ22" s="63">
        <v>0</v>
      </c>
      <c r="AR22" s="64">
        <v>0</v>
      </c>
      <c r="AS22" s="10"/>
      <c r="BN22">
        <v>181</v>
      </c>
      <c r="BO22" s="10"/>
    </row>
    <row r="23" spans="1:67" x14ac:dyDescent="0.3">
      <c r="A23" s="10"/>
      <c r="B23" s="1"/>
      <c r="C23" s="1"/>
      <c r="D23" s="1"/>
      <c r="E23" s="1"/>
      <c r="F23" s="1"/>
      <c r="G23" s="1"/>
      <c r="H23" s="1"/>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BN23">
        <v>178</v>
      </c>
      <c r="BO23" s="10"/>
    </row>
    <row r="24" spans="1:67" x14ac:dyDescent="0.3">
      <c r="S24" s="10"/>
      <c r="T24" s="10"/>
      <c r="U24" s="10"/>
      <c r="V24" s="10"/>
      <c r="W24" s="10"/>
      <c r="X24" s="10"/>
      <c r="Y24" s="10"/>
      <c r="Z24" s="10"/>
      <c r="AA24" s="10"/>
      <c r="AB24" s="10"/>
      <c r="AC24" s="10"/>
      <c r="AD24" s="10"/>
      <c r="AE24" s="10"/>
      <c r="AF24" s="10"/>
      <c r="BN24">
        <v>187</v>
      </c>
      <c r="BO24" s="10"/>
    </row>
    <row r="25" spans="1:67" x14ac:dyDescent="0.3">
      <c r="S25" s="10"/>
      <c r="T25" s="10"/>
      <c r="U25" s="10"/>
      <c r="V25" s="10"/>
      <c r="W25" s="10"/>
      <c r="X25" s="10"/>
      <c r="Y25" s="10"/>
      <c r="Z25" s="10"/>
      <c r="AA25" s="10"/>
      <c r="AB25" s="10"/>
      <c r="AC25" s="10"/>
      <c r="AD25" s="10"/>
      <c r="AE25" s="10"/>
      <c r="AF25" s="10"/>
      <c r="BN25">
        <v>185</v>
      </c>
      <c r="BO25" s="10"/>
    </row>
    <row r="26" spans="1:67" x14ac:dyDescent="0.3">
      <c r="S26" s="10"/>
      <c r="T26" s="10"/>
      <c r="U26" s="10"/>
      <c r="V26" s="10"/>
      <c r="W26" s="10"/>
      <c r="X26" s="10"/>
      <c r="Y26" s="10"/>
      <c r="Z26" s="10"/>
      <c r="AA26" s="10"/>
      <c r="AB26" s="10"/>
      <c r="AC26" s="10"/>
      <c r="AD26" s="10"/>
      <c r="AE26" s="10"/>
      <c r="AF26" s="10"/>
      <c r="BN26">
        <v>182</v>
      </c>
      <c r="BO26" s="10"/>
    </row>
    <row r="27" spans="1:67" x14ac:dyDescent="0.3">
      <c r="S27" s="10"/>
      <c r="T27" s="10"/>
      <c r="U27" s="10"/>
      <c r="V27" s="10"/>
      <c r="W27" s="10"/>
      <c r="X27" s="10"/>
      <c r="Y27" s="10"/>
      <c r="Z27" s="10"/>
      <c r="AA27" s="10"/>
      <c r="AB27" s="10"/>
      <c r="AC27" s="10"/>
      <c r="AD27" s="10"/>
      <c r="AE27" s="10"/>
      <c r="AF27" s="10"/>
      <c r="BN27">
        <v>180</v>
      </c>
      <c r="BO27" s="10"/>
    </row>
    <row r="28" spans="1:67" x14ac:dyDescent="0.3">
      <c r="S28" s="10"/>
      <c r="T28" s="10"/>
      <c r="U28" s="10"/>
      <c r="V28" s="10"/>
      <c r="W28" s="10"/>
      <c r="X28" s="10"/>
      <c r="Y28" s="10"/>
      <c r="Z28" s="10"/>
      <c r="AA28" s="10"/>
      <c r="AB28" s="10"/>
      <c r="AC28" s="10"/>
      <c r="AD28" s="10"/>
      <c r="AE28" s="10"/>
      <c r="AF28" s="10"/>
      <c r="BN28">
        <v>185</v>
      </c>
      <c r="BO28" s="10"/>
    </row>
    <row r="29" spans="1:67" x14ac:dyDescent="0.3">
      <c r="S29" s="10"/>
      <c r="T29" s="10"/>
      <c r="U29" s="10"/>
      <c r="V29" s="10"/>
      <c r="W29" s="10"/>
      <c r="X29" s="10"/>
      <c r="Y29" s="10"/>
      <c r="Z29" s="10"/>
      <c r="AA29" s="10"/>
      <c r="AB29" s="10"/>
      <c r="AC29" s="10"/>
      <c r="AD29" s="10"/>
      <c r="AE29" s="10"/>
      <c r="AF29" s="10"/>
      <c r="BN29">
        <v>184</v>
      </c>
      <c r="BO29" s="10"/>
    </row>
    <row r="30" spans="1:67" x14ac:dyDescent="0.3">
      <c r="S30" s="10"/>
      <c r="T30" s="10"/>
      <c r="U30" s="10"/>
      <c r="V30" s="10"/>
      <c r="W30" s="10"/>
      <c r="X30" s="10"/>
      <c r="Y30" s="10"/>
      <c r="Z30" s="10"/>
      <c r="AA30" s="10"/>
      <c r="AB30" s="10"/>
      <c r="AC30" s="10"/>
      <c r="AD30" s="10"/>
      <c r="AE30" s="10"/>
      <c r="AF30" s="10"/>
      <c r="BN30">
        <v>183</v>
      </c>
      <c r="BO30" s="10"/>
    </row>
    <row r="31" spans="1:67" x14ac:dyDescent="0.3">
      <c r="S31" s="10"/>
      <c r="T31" s="10"/>
      <c r="U31" s="10"/>
      <c r="V31" s="10"/>
      <c r="W31" s="10"/>
      <c r="X31" s="10"/>
      <c r="Y31" s="10"/>
      <c r="Z31" s="10"/>
      <c r="AA31" s="10"/>
      <c r="AB31" s="10"/>
      <c r="AC31" s="10"/>
      <c r="AD31" s="10"/>
      <c r="AE31" s="10"/>
      <c r="AF31" s="10"/>
      <c r="BN31">
        <v>173</v>
      </c>
      <c r="BO31" s="10"/>
    </row>
    <row r="32" spans="1:67" x14ac:dyDescent="0.3">
      <c r="S32" s="10"/>
      <c r="T32" s="10"/>
      <c r="U32" s="10"/>
      <c r="V32" s="10"/>
      <c r="W32" s="10"/>
      <c r="X32" s="10"/>
      <c r="Y32" s="10"/>
      <c r="Z32" s="10"/>
      <c r="AA32" s="10"/>
      <c r="AB32" s="10"/>
      <c r="AC32" s="10"/>
      <c r="AD32" s="10"/>
      <c r="AE32" s="10"/>
      <c r="AF32" s="10"/>
      <c r="BN32">
        <v>170</v>
      </c>
      <c r="BO32" s="10"/>
    </row>
    <row r="33" spans="19:67" x14ac:dyDescent="0.3">
      <c r="S33" s="10"/>
      <c r="T33" s="10"/>
      <c r="U33" s="10"/>
      <c r="V33" s="10"/>
      <c r="W33" s="10"/>
      <c r="X33" s="10"/>
      <c r="Y33" s="10"/>
      <c r="Z33" s="10"/>
      <c r="AA33" s="10"/>
      <c r="AB33" s="10"/>
      <c r="AC33" s="10"/>
      <c r="AD33" s="10"/>
      <c r="AE33" s="10"/>
      <c r="AF33" s="10"/>
      <c r="BN33">
        <v>168</v>
      </c>
      <c r="BO33" s="10"/>
    </row>
    <row r="34" spans="19:67" x14ac:dyDescent="0.3">
      <c r="S34" s="10"/>
      <c r="T34" s="10"/>
      <c r="U34" s="10"/>
      <c r="V34" s="10"/>
      <c r="W34" s="10"/>
      <c r="X34" s="10"/>
      <c r="Y34" s="10"/>
      <c r="Z34" s="10"/>
      <c r="AA34" s="10"/>
      <c r="AB34" s="10"/>
      <c r="AC34" s="10"/>
      <c r="AD34" s="10"/>
      <c r="AE34" s="10"/>
      <c r="AF34" s="10"/>
      <c r="BN34">
        <v>168</v>
      </c>
      <c r="BO34" s="10"/>
    </row>
    <row r="35" spans="19:67" x14ac:dyDescent="0.3">
      <c r="S35" s="10"/>
      <c r="T35" s="10"/>
      <c r="U35" s="10"/>
      <c r="V35" s="10"/>
      <c r="W35" s="10"/>
      <c r="X35" s="10"/>
      <c r="Y35" s="10"/>
      <c r="Z35" s="10"/>
      <c r="AA35" s="10"/>
      <c r="AB35" s="10"/>
      <c r="AC35" s="10"/>
      <c r="AD35" s="10"/>
      <c r="AE35" s="10"/>
      <c r="AF35" s="10"/>
      <c r="BN35">
        <v>168</v>
      </c>
      <c r="BO35" s="10"/>
    </row>
    <row r="36" spans="19:67" x14ac:dyDescent="0.3">
      <c r="S36" s="10"/>
      <c r="T36" s="10"/>
      <c r="U36" s="10"/>
      <c r="V36" s="10"/>
      <c r="W36" s="10"/>
      <c r="X36" s="10"/>
      <c r="Y36" s="10"/>
      <c r="Z36" s="10"/>
      <c r="AA36" s="10"/>
      <c r="AB36" s="10"/>
      <c r="AC36" s="10"/>
      <c r="AD36" s="10"/>
      <c r="AE36" s="10"/>
      <c r="AF36" s="10"/>
      <c r="BN36">
        <v>167</v>
      </c>
      <c r="BO36" s="10"/>
    </row>
    <row r="37" spans="19:67" x14ac:dyDescent="0.3">
      <c r="S37" s="10"/>
      <c r="T37" s="10"/>
      <c r="U37" s="10"/>
      <c r="V37" s="10"/>
      <c r="W37" s="10"/>
      <c r="X37" s="10"/>
      <c r="Y37" s="10"/>
      <c r="Z37" s="10"/>
      <c r="AA37" s="10"/>
      <c r="AB37" s="10"/>
      <c r="AC37" s="10"/>
      <c r="AD37" s="10"/>
      <c r="AE37" s="10"/>
      <c r="AF37" s="10"/>
      <c r="BN37">
        <v>172</v>
      </c>
      <c r="BO37" s="10"/>
    </row>
    <row r="38" spans="19:67" x14ac:dyDescent="0.3">
      <c r="S38" s="10"/>
      <c r="T38" s="10"/>
      <c r="U38" s="10"/>
      <c r="V38" s="10"/>
      <c r="W38" s="10"/>
      <c r="X38" s="10"/>
      <c r="Y38" s="10"/>
      <c r="Z38" s="10"/>
      <c r="AA38" s="10"/>
      <c r="AB38" s="10"/>
      <c r="AC38" s="10"/>
      <c r="AD38" s="10"/>
      <c r="AE38" s="10"/>
      <c r="AF38" s="10"/>
      <c r="BN38">
        <v>172</v>
      </c>
      <c r="BO38" s="10"/>
    </row>
    <row r="39" spans="19:67" x14ac:dyDescent="0.3">
      <c r="S39" s="10"/>
      <c r="T39" s="10"/>
      <c r="U39" s="10"/>
      <c r="V39" s="10"/>
      <c r="W39" s="10"/>
      <c r="X39" s="10"/>
      <c r="Y39" s="10"/>
      <c r="Z39" s="10"/>
      <c r="AA39" s="10"/>
      <c r="AB39" s="10"/>
      <c r="AC39" s="10"/>
      <c r="AD39" s="10"/>
      <c r="AE39" s="10"/>
      <c r="AF39" s="10"/>
      <c r="BN39">
        <v>164</v>
      </c>
      <c r="BO39" s="10"/>
    </row>
    <row r="40" spans="19:67" x14ac:dyDescent="0.3">
      <c r="S40" s="10"/>
      <c r="T40" s="10"/>
      <c r="U40" s="10"/>
      <c r="V40" s="10"/>
      <c r="W40" s="10"/>
      <c r="X40" s="10"/>
      <c r="Y40" s="10"/>
      <c r="Z40" s="10"/>
      <c r="AA40" s="10"/>
      <c r="AB40" s="10"/>
      <c r="AC40" s="10"/>
      <c r="AD40" s="10"/>
      <c r="AE40" s="10"/>
      <c r="AF40" s="10"/>
      <c r="BN40">
        <v>162</v>
      </c>
      <c r="BO40" s="10"/>
    </row>
    <row r="41" spans="19:67" x14ac:dyDescent="0.3">
      <c r="S41" s="10"/>
      <c r="T41" s="10"/>
      <c r="U41" s="10"/>
      <c r="V41" s="10"/>
      <c r="W41" s="10"/>
      <c r="X41" s="10"/>
      <c r="Y41" s="10"/>
      <c r="Z41" s="10"/>
      <c r="AA41" s="10"/>
      <c r="AB41" s="10"/>
      <c r="AC41" s="10"/>
      <c r="AD41" s="10"/>
      <c r="AE41" s="10"/>
      <c r="AF41" s="10"/>
      <c r="BN41">
        <v>164</v>
      </c>
      <c r="BO41" s="10"/>
    </row>
    <row r="42" spans="19:67" x14ac:dyDescent="0.3">
      <c r="S42" s="10"/>
      <c r="T42" s="10"/>
      <c r="U42" s="10"/>
      <c r="V42" s="10"/>
      <c r="W42" s="10"/>
      <c r="X42" s="10"/>
      <c r="Y42" s="10"/>
      <c r="Z42" s="10"/>
      <c r="AA42" s="10"/>
      <c r="AB42" s="10"/>
      <c r="AC42" s="10"/>
      <c r="AD42" s="10"/>
      <c r="AE42" s="10"/>
      <c r="AF42" s="10"/>
      <c r="BN42">
        <v>165</v>
      </c>
      <c r="BO42" s="10"/>
    </row>
    <row r="43" spans="19:67" x14ac:dyDescent="0.3">
      <c r="S43" s="10"/>
      <c r="T43" s="10"/>
      <c r="U43" s="10"/>
      <c r="V43" s="10"/>
      <c r="W43" s="10"/>
      <c r="X43" s="10"/>
      <c r="AA43" s="10"/>
      <c r="BN43">
        <v>165</v>
      </c>
      <c r="BO43" s="10"/>
    </row>
    <row r="44" spans="19:67" x14ac:dyDescent="0.3">
      <c r="S44" s="10"/>
      <c r="T44" s="10"/>
      <c r="U44" s="10"/>
      <c r="V44" s="10"/>
      <c r="W44" s="10"/>
      <c r="X44" s="10"/>
      <c r="AA44" s="10"/>
      <c r="AB44" s="10"/>
      <c r="AC44" s="10"/>
      <c r="AD44" s="10"/>
      <c r="AE44" s="10"/>
      <c r="AF44" s="10"/>
      <c r="AI44" s="10"/>
      <c r="AJ44" s="10"/>
      <c r="AK44" s="10"/>
      <c r="AL44" s="10"/>
      <c r="AM44" s="10"/>
      <c r="AP44" s="10"/>
      <c r="AQ44" s="10"/>
      <c r="AR44" s="10"/>
      <c r="AS44" s="10"/>
      <c r="AT44" s="10"/>
      <c r="BN44">
        <v>163</v>
      </c>
      <c r="BO44" s="10"/>
    </row>
    <row r="45" spans="19:67" x14ac:dyDescent="0.3">
      <c r="S45" s="10"/>
      <c r="T45" s="10"/>
      <c r="U45" s="10"/>
      <c r="V45" s="10"/>
      <c r="W45" s="10"/>
      <c r="X45" s="10"/>
      <c r="AA45" s="10"/>
      <c r="AB45" s="10"/>
      <c r="AC45" s="10"/>
      <c r="AD45" s="10"/>
      <c r="AE45" s="10"/>
      <c r="AF45" s="10"/>
      <c r="AH45" s="10"/>
      <c r="AI45" s="10"/>
      <c r="AJ45" s="10"/>
      <c r="AK45" s="10"/>
      <c r="AL45" s="10"/>
      <c r="AM45" s="10"/>
      <c r="AO45" s="10"/>
      <c r="AP45" s="10"/>
      <c r="AQ45" s="10"/>
      <c r="AR45" s="10"/>
      <c r="AS45" s="10"/>
      <c r="AT45" s="10"/>
      <c r="BN45">
        <v>162</v>
      </c>
      <c r="BO45" s="10"/>
    </row>
    <row r="46" spans="19:67" x14ac:dyDescent="0.3">
      <c r="S46" s="10"/>
      <c r="T46" s="10"/>
      <c r="U46" s="10"/>
      <c r="V46" s="10"/>
      <c r="W46" s="10"/>
      <c r="X46" s="10"/>
      <c r="AA46" s="10"/>
      <c r="AB46" s="10"/>
      <c r="AC46" s="10"/>
      <c r="AD46" s="10"/>
      <c r="AE46" s="10"/>
      <c r="AF46" s="10"/>
      <c r="AH46" s="10"/>
      <c r="AI46" s="10"/>
      <c r="AJ46" s="10"/>
      <c r="AK46" s="10"/>
      <c r="AL46" s="10"/>
      <c r="AM46" s="10"/>
      <c r="AO46" s="10"/>
      <c r="AP46" s="10"/>
      <c r="AQ46" s="10"/>
      <c r="AR46" s="10"/>
      <c r="AS46" s="10"/>
      <c r="AT46" s="10"/>
      <c r="BN46">
        <v>167</v>
      </c>
      <c r="BO46" s="10"/>
    </row>
    <row r="47" spans="19:67" x14ac:dyDescent="0.3">
      <c r="S47" s="10"/>
      <c r="T47" s="10"/>
      <c r="U47" s="10"/>
      <c r="V47" s="10"/>
      <c r="W47" s="10"/>
      <c r="X47" s="10"/>
      <c r="AA47" s="10"/>
      <c r="AB47" s="10"/>
      <c r="AC47" s="10"/>
      <c r="AD47" s="10"/>
      <c r="AE47" s="10"/>
      <c r="AF47" s="10"/>
      <c r="AH47" s="10"/>
      <c r="AI47" s="10"/>
      <c r="AJ47" s="10"/>
      <c r="AK47" s="10"/>
      <c r="AL47" s="10"/>
      <c r="AM47" s="10"/>
      <c r="AO47" s="10"/>
      <c r="AP47" s="10"/>
      <c r="AQ47" s="10"/>
      <c r="AR47" s="10"/>
      <c r="AS47" s="10"/>
      <c r="AT47" s="10"/>
      <c r="BN47">
        <v>167</v>
      </c>
      <c r="BO47" s="10"/>
    </row>
    <row r="48" spans="19:67" x14ac:dyDescent="0.3">
      <c r="S48" s="10"/>
      <c r="T48" s="10"/>
      <c r="U48" s="10"/>
      <c r="V48" s="10"/>
      <c r="W48" s="10"/>
      <c r="X48" s="10"/>
      <c r="AA48" s="10"/>
      <c r="AB48" s="10"/>
      <c r="AC48" s="10"/>
      <c r="AD48" s="10"/>
      <c r="AE48" s="10"/>
      <c r="AF48" s="10"/>
      <c r="AH48" s="10"/>
      <c r="AI48" s="10"/>
      <c r="AJ48" s="10"/>
      <c r="AK48" s="10"/>
      <c r="AL48" s="10"/>
      <c r="AM48" s="10"/>
      <c r="AO48" s="10"/>
      <c r="AP48" s="10"/>
      <c r="AQ48" s="10"/>
      <c r="AR48" s="10"/>
      <c r="AS48" s="10"/>
      <c r="AT48" s="10"/>
      <c r="BN48">
        <v>167</v>
      </c>
      <c r="BO48" s="10"/>
    </row>
    <row r="49" spans="19:67" x14ac:dyDescent="0.3">
      <c r="S49" s="10"/>
      <c r="T49" s="10"/>
      <c r="U49" s="10"/>
      <c r="V49" s="10"/>
      <c r="W49" s="10"/>
      <c r="X49" s="10"/>
      <c r="AA49" s="10"/>
      <c r="AB49" s="10"/>
      <c r="AC49" s="10"/>
      <c r="AD49" s="10"/>
      <c r="AE49" s="10"/>
      <c r="AF49" s="10"/>
      <c r="AH49" s="10"/>
      <c r="AI49" s="10"/>
      <c r="AJ49" s="10"/>
      <c r="AK49" s="10"/>
      <c r="AL49" s="10"/>
      <c r="AM49" s="10"/>
      <c r="AO49" s="10"/>
      <c r="AP49" s="10"/>
      <c r="AQ49" s="10"/>
      <c r="AR49" s="10"/>
      <c r="AS49" s="10"/>
      <c r="AT49" s="10"/>
      <c r="BN49">
        <v>166</v>
      </c>
      <c r="BO49" s="10"/>
    </row>
    <row r="50" spans="19:67" x14ac:dyDescent="0.3">
      <c r="S50" s="10"/>
      <c r="T50" s="10"/>
      <c r="U50" s="10"/>
      <c r="V50" s="10"/>
      <c r="W50" s="10"/>
      <c r="X50" s="10"/>
      <c r="AA50" s="10"/>
      <c r="AB50" s="10"/>
      <c r="AC50" s="10"/>
      <c r="AD50" s="10"/>
      <c r="AE50" s="10"/>
      <c r="AF50" s="10"/>
      <c r="AH50" s="10"/>
      <c r="AI50" s="10"/>
      <c r="AJ50" s="10"/>
      <c r="AK50" s="10"/>
      <c r="AL50" s="10"/>
      <c r="AM50" s="10"/>
      <c r="AO50" s="10"/>
      <c r="AP50" s="10"/>
      <c r="AQ50" s="10"/>
      <c r="AR50" s="10"/>
      <c r="AS50" s="10"/>
      <c r="AT50" s="10"/>
      <c r="BN50">
        <v>159</v>
      </c>
      <c r="BO50" s="10"/>
    </row>
    <row r="51" spans="19:67" x14ac:dyDescent="0.3">
      <c r="S51" s="10"/>
      <c r="T51" s="10"/>
      <c r="U51" s="10"/>
      <c r="V51" s="10"/>
      <c r="W51" s="10"/>
      <c r="X51" s="10"/>
      <c r="AA51" s="10"/>
      <c r="AB51" s="10"/>
      <c r="AC51" s="10"/>
      <c r="AD51" s="10"/>
      <c r="AE51" s="10"/>
      <c r="AF51" s="10"/>
      <c r="AH51" s="10"/>
      <c r="AI51" s="10"/>
      <c r="AJ51" s="10"/>
      <c r="AK51" s="10"/>
      <c r="AL51" s="10"/>
      <c r="AM51" s="10"/>
      <c r="AO51" s="10"/>
      <c r="AP51" s="10"/>
      <c r="AQ51" s="10"/>
      <c r="AR51" s="10"/>
      <c r="AS51" s="10"/>
      <c r="AT51" s="10"/>
      <c r="BN51">
        <v>157</v>
      </c>
      <c r="BO51" s="10"/>
    </row>
    <row r="52" spans="19:67" x14ac:dyDescent="0.3">
      <c r="S52" s="10"/>
      <c r="T52" s="10"/>
      <c r="U52" s="10"/>
      <c r="V52" s="10"/>
      <c r="W52" s="10"/>
      <c r="X52" s="10"/>
      <c r="AA52" s="10"/>
      <c r="AB52" s="10"/>
      <c r="AC52" s="10"/>
      <c r="AD52" s="10"/>
      <c r="AE52" s="10"/>
      <c r="AF52" s="10"/>
      <c r="AH52" s="10"/>
      <c r="AI52" s="10"/>
      <c r="AJ52" s="10"/>
      <c r="AK52" s="10"/>
      <c r="AL52" s="10"/>
      <c r="AM52" s="10"/>
      <c r="AO52" s="10"/>
      <c r="AP52" s="10"/>
      <c r="AQ52" s="10"/>
      <c r="AR52" s="10"/>
      <c r="AS52" s="10"/>
      <c r="AT52" s="10"/>
      <c r="BN52">
        <v>157</v>
      </c>
      <c r="BO52" s="10"/>
    </row>
    <row r="53" spans="19:67" x14ac:dyDescent="0.3">
      <c r="S53" s="10"/>
      <c r="T53" s="10"/>
      <c r="U53" s="10"/>
      <c r="V53" s="10"/>
      <c r="W53" s="10"/>
      <c r="X53" s="10"/>
      <c r="AA53" s="10"/>
      <c r="AB53" s="10"/>
      <c r="AC53" s="10"/>
      <c r="AD53" s="10"/>
      <c r="AE53" s="10"/>
      <c r="AF53" s="10"/>
      <c r="AH53" s="10"/>
      <c r="AI53" s="10"/>
      <c r="AJ53" s="10"/>
      <c r="AK53" s="10"/>
      <c r="AL53" s="10"/>
      <c r="AM53" s="10"/>
      <c r="AO53" s="10"/>
      <c r="AP53" s="10"/>
      <c r="AQ53" s="10"/>
      <c r="AR53" s="10"/>
      <c r="AS53" s="10"/>
      <c r="AT53" s="10"/>
      <c r="BN53">
        <v>157</v>
      </c>
      <c r="BO53" s="10"/>
    </row>
    <row r="54" spans="19:67" x14ac:dyDescent="0.3">
      <c r="S54" s="10"/>
      <c r="T54" s="10"/>
      <c r="U54" s="10"/>
      <c r="V54" s="10"/>
      <c r="W54" s="10"/>
      <c r="X54" s="10"/>
      <c r="AA54" s="10"/>
      <c r="AB54" s="10"/>
      <c r="AC54" s="10"/>
      <c r="AD54" s="10"/>
      <c r="AE54" s="10"/>
      <c r="AF54" s="10"/>
      <c r="AH54" s="10"/>
      <c r="AI54" s="10"/>
      <c r="AJ54" s="10"/>
      <c r="AK54" s="10"/>
      <c r="AL54" s="10"/>
      <c r="AM54" s="10"/>
      <c r="AO54" s="10"/>
      <c r="AP54" s="10"/>
      <c r="AQ54" s="10"/>
      <c r="AR54" s="10"/>
      <c r="AS54" s="10"/>
      <c r="AT54" s="10"/>
      <c r="BN54">
        <v>157</v>
      </c>
      <c r="BO54" s="10"/>
    </row>
    <row r="55" spans="19:67" x14ac:dyDescent="0.3">
      <c r="S55" s="10"/>
      <c r="T55" s="10"/>
      <c r="U55" s="10"/>
      <c r="V55" s="10"/>
      <c r="W55" s="10"/>
      <c r="X55" s="10"/>
      <c r="AA55" s="10"/>
      <c r="AB55" s="10"/>
      <c r="AC55" s="10"/>
      <c r="AD55" s="10"/>
      <c r="AE55" s="10"/>
      <c r="AF55" s="10"/>
      <c r="AH55" s="10"/>
      <c r="AI55" s="10"/>
      <c r="AJ55" s="10"/>
      <c r="AK55" s="10"/>
      <c r="AL55" s="10"/>
      <c r="AM55" s="10"/>
      <c r="AO55" s="10"/>
      <c r="AP55" s="10"/>
      <c r="AQ55" s="10"/>
      <c r="AR55" s="10"/>
      <c r="AS55" s="10"/>
      <c r="AT55" s="10"/>
      <c r="BN55">
        <v>157</v>
      </c>
      <c r="BO55" s="10"/>
    </row>
    <row r="56" spans="19:67" x14ac:dyDescent="0.3">
      <c r="S56" s="10"/>
      <c r="T56" s="10"/>
      <c r="U56" s="10"/>
      <c r="V56" s="10"/>
      <c r="W56" s="10"/>
      <c r="X56" s="10"/>
      <c r="AA56" s="10"/>
      <c r="AB56" s="10"/>
      <c r="AC56" s="10"/>
      <c r="AD56" s="10"/>
      <c r="AE56" s="10"/>
      <c r="AF56" s="10"/>
      <c r="AH56" s="10"/>
      <c r="AI56" s="10"/>
      <c r="AJ56" s="10"/>
      <c r="AK56" s="10"/>
      <c r="AL56" s="10"/>
      <c r="AM56" s="10"/>
      <c r="AO56" s="10"/>
      <c r="AP56" s="10"/>
      <c r="AQ56" s="10"/>
      <c r="AR56" s="10"/>
      <c r="AS56" s="10"/>
      <c r="AT56" s="10"/>
      <c r="BN56">
        <v>155</v>
      </c>
      <c r="BO56" s="10"/>
    </row>
    <row r="57" spans="19:67" x14ac:dyDescent="0.3">
      <c r="S57" s="10"/>
      <c r="T57" s="10"/>
      <c r="U57" s="10"/>
      <c r="V57" s="10"/>
      <c r="W57" s="10"/>
      <c r="X57" s="10"/>
      <c r="AA57" s="10"/>
      <c r="AB57" s="10"/>
      <c r="AC57" s="10"/>
      <c r="AD57" s="10"/>
      <c r="AE57" s="10"/>
      <c r="AF57" s="10"/>
      <c r="AH57" s="10"/>
      <c r="AI57" s="10"/>
      <c r="AJ57" s="10"/>
      <c r="AK57" s="10"/>
      <c r="AL57" s="10"/>
      <c r="AM57" s="10"/>
      <c r="AO57" s="10"/>
      <c r="AP57" s="10"/>
      <c r="AQ57" s="10"/>
      <c r="AR57" s="10"/>
      <c r="AS57" s="10"/>
      <c r="AT57" s="10"/>
      <c r="BN57">
        <v>155</v>
      </c>
      <c r="BO57" s="10"/>
    </row>
    <row r="58" spans="19:67" x14ac:dyDescent="0.3">
      <c r="S58" s="10"/>
      <c r="T58" s="10"/>
      <c r="U58" s="10"/>
      <c r="V58" s="10"/>
      <c r="W58" s="10"/>
      <c r="X58" s="10"/>
      <c r="AA58" s="10"/>
      <c r="AB58" s="10"/>
      <c r="AC58" s="10"/>
      <c r="AD58" s="10"/>
      <c r="AE58" s="10"/>
      <c r="AF58" s="10"/>
      <c r="AH58" s="10"/>
      <c r="AI58" s="10"/>
      <c r="AJ58" s="10"/>
      <c r="AK58" s="10"/>
      <c r="AL58" s="10"/>
      <c r="AM58" s="10"/>
      <c r="AO58" s="10"/>
      <c r="AP58" s="10"/>
      <c r="AQ58" s="10"/>
      <c r="AR58" s="10"/>
      <c r="AS58" s="10"/>
      <c r="AT58" s="10"/>
      <c r="BN58">
        <v>155</v>
      </c>
      <c r="BO58" s="10"/>
    </row>
    <row r="59" spans="19:67" x14ac:dyDescent="0.3">
      <c r="S59" s="10"/>
      <c r="T59" s="10"/>
      <c r="U59" s="10"/>
      <c r="V59" s="10"/>
      <c r="W59" s="10"/>
      <c r="X59" s="10"/>
      <c r="AA59" s="10"/>
      <c r="AB59" s="10"/>
      <c r="AC59" s="10"/>
      <c r="AD59" s="10"/>
      <c r="AE59" s="10"/>
      <c r="AF59" s="10"/>
      <c r="AH59" s="10"/>
      <c r="AI59" s="10"/>
      <c r="AJ59" s="10"/>
      <c r="AK59" s="10"/>
      <c r="AL59" s="10"/>
      <c r="AM59" s="10"/>
      <c r="AO59" s="10"/>
      <c r="AP59" s="10"/>
      <c r="AQ59" s="10"/>
      <c r="AR59" s="10"/>
      <c r="AS59" s="10"/>
      <c r="AT59" s="10"/>
      <c r="BN59">
        <v>155</v>
      </c>
      <c r="BO59" s="10"/>
    </row>
    <row r="60" spans="19:67" x14ac:dyDescent="0.3">
      <c r="S60" s="10"/>
      <c r="T60" s="10"/>
      <c r="U60" s="10"/>
      <c r="V60" s="10"/>
      <c r="W60" s="10"/>
      <c r="X60" s="10"/>
      <c r="AA60" s="10"/>
      <c r="AB60" s="10"/>
      <c r="AC60" s="10"/>
      <c r="AD60" s="10"/>
      <c r="AE60" s="10"/>
      <c r="AF60" s="10"/>
      <c r="AH60" s="10"/>
      <c r="AI60" s="10"/>
      <c r="AJ60" s="10"/>
      <c r="AK60" s="10"/>
      <c r="AL60" s="10"/>
      <c r="AM60" s="10"/>
      <c r="AO60" s="10"/>
      <c r="AP60" s="10"/>
      <c r="AQ60" s="10"/>
      <c r="AR60" s="10"/>
      <c r="AS60" s="10"/>
      <c r="AT60" s="10"/>
      <c r="BN60">
        <v>155</v>
      </c>
      <c r="BO60" s="10"/>
    </row>
    <row r="61" spans="19:67" x14ac:dyDescent="0.3">
      <c r="S61" s="10"/>
      <c r="T61" s="10"/>
      <c r="U61" s="10"/>
      <c r="V61" s="10"/>
      <c r="W61" s="10"/>
      <c r="X61" s="10"/>
      <c r="AA61" s="10"/>
      <c r="AB61" s="10"/>
      <c r="AC61" s="10"/>
      <c r="AD61" s="10"/>
      <c r="AE61" s="10"/>
      <c r="AF61" s="10"/>
      <c r="AH61" s="10"/>
      <c r="AI61" s="10"/>
      <c r="AJ61" s="10"/>
      <c r="AK61" s="10"/>
      <c r="AL61" s="10"/>
      <c r="AM61" s="10"/>
      <c r="AO61" s="10"/>
      <c r="AP61" s="10"/>
      <c r="AQ61" s="10"/>
      <c r="AR61" s="10"/>
      <c r="AS61" s="10"/>
      <c r="AT61" s="10"/>
      <c r="BN61">
        <v>155</v>
      </c>
      <c r="BO61" s="10"/>
    </row>
    <row r="62" spans="19:67" x14ac:dyDescent="0.3">
      <c r="S62" s="10"/>
      <c r="T62" s="10"/>
      <c r="U62" s="10"/>
      <c r="V62" s="10"/>
      <c r="W62" s="10"/>
      <c r="X62" s="10"/>
      <c r="AA62" s="10"/>
      <c r="AB62" s="10"/>
      <c r="AC62" s="10"/>
      <c r="AD62" s="10"/>
      <c r="AE62" s="10"/>
      <c r="AF62" s="10"/>
      <c r="AH62" s="10"/>
      <c r="AI62" s="10"/>
      <c r="AJ62" s="10"/>
      <c r="AK62" s="10"/>
      <c r="AL62" s="10"/>
      <c r="AM62" s="10"/>
      <c r="AO62" s="10"/>
      <c r="AP62" s="10"/>
      <c r="AQ62" s="10"/>
      <c r="AR62" s="10"/>
      <c r="AS62" s="10"/>
      <c r="AT62" s="10"/>
      <c r="BN62">
        <v>146</v>
      </c>
      <c r="BO62" s="10"/>
    </row>
    <row r="63" spans="19:67" x14ac:dyDescent="0.3">
      <c r="S63" s="10"/>
      <c r="T63" s="10"/>
      <c r="U63" s="10"/>
      <c r="V63" s="10"/>
      <c r="W63" s="10"/>
      <c r="X63" s="10"/>
      <c r="AA63" s="10"/>
      <c r="AB63" s="10"/>
      <c r="AC63" s="10"/>
      <c r="AD63" s="10"/>
      <c r="AE63" s="10"/>
      <c r="AF63" s="10"/>
      <c r="AH63" s="10"/>
      <c r="AI63" s="10"/>
      <c r="AJ63" s="10"/>
      <c r="AK63" s="10"/>
      <c r="AL63" s="10"/>
      <c r="AM63" s="10"/>
      <c r="AO63" s="10"/>
      <c r="AP63" s="10"/>
      <c r="AQ63" s="10"/>
      <c r="AR63" s="10"/>
      <c r="AS63" s="10"/>
      <c r="AT63" s="10"/>
      <c r="BN63">
        <v>148</v>
      </c>
      <c r="BO63" s="10"/>
    </row>
    <row r="64" spans="19:67" x14ac:dyDescent="0.3">
      <c r="AA64" s="10"/>
      <c r="AB64" s="10"/>
      <c r="AC64" s="10"/>
      <c r="AD64" s="10"/>
      <c r="AE64" s="10"/>
      <c r="AF64" s="10"/>
      <c r="BN64">
        <v>152</v>
      </c>
      <c r="BO64" s="10"/>
    </row>
    <row r="65" spans="66:67" x14ac:dyDescent="0.3">
      <c r="BN65">
        <v>152</v>
      </c>
      <c r="BO65" s="10"/>
    </row>
    <row r="66" spans="66:67" x14ac:dyDescent="0.3">
      <c r="BN66">
        <v>150</v>
      </c>
      <c r="BO66" s="10"/>
    </row>
    <row r="67" spans="66:67" x14ac:dyDescent="0.3">
      <c r="BN67">
        <v>157</v>
      </c>
      <c r="BO67" s="10"/>
    </row>
    <row r="68" spans="66:67" x14ac:dyDescent="0.3">
      <c r="BN68">
        <v>162</v>
      </c>
      <c r="BO68" s="10"/>
    </row>
    <row r="69" spans="66:67" x14ac:dyDescent="0.3">
      <c r="BN69">
        <v>161</v>
      </c>
      <c r="BO69" s="10"/>
    </row>
    <row r="70" spans="66:67" x14ac:dyDescent="0.3">
      <c r="BN70">
        <v>161</v>
      </c>
      <c r="BO70" s="10"/>
    </row>
    <row r="71" spans="66:67" x14ac:dyDescent="0.3">
      <c r="BN71">
        <v>160</v>
      </c>
      <c r="BO71" s="10"/>
    </row>
    <row r="72" spans="66:67" x14ac:dyDescent="0.3">
      <c r="BN72">
        <v>151</v>
      </c>
      <c r="BO72" s="10"/>
    </row>
    <row r="73" spans="66:67" x14ac:dyDescent="0.3">
      <c r="BN73">
        <v>151</v>
      </c>
      <c r="BO73" s="10"/>
    </row>
    <row r="74" spans="66:67" x14ac:dyDescent="0.3">
      <c r="BN74">
        <v>151</v>
      </c>
      <c r="BO74" s="10"/>
    </row>
    <row r="75" spans="66:67" x14ac:dyDescent="0.3">
      <c r="BN75">
        <v>150</v>
      </c>
      <c r="BO75" s="10"/>
    </row>
    <row r="76" spans="66:67" x14ac:dyDescent="0.3">
      <c r="BN76">
        <v>149</v>
      </c>
      <c r="BO76" s="10"/>
    </row>
    <row r="77" spans="66:67" x14ac:dyDescent="0.3">
      <c r="BN77">
        <v>149</v>
      </c>
      <c r="BO77" s="10"/>
    </row>
    <row r="78" spans="66:67" x14ac:dyDescent="0.3">
      <c r="BN78">
        <v>149</v>
      </c>
      <c r="BO78" s="10"/>
    </row>
    <row r="79" spans="66:67" x14ac:dyDescent="0.3">
      <c r="BN79">
        <v>149</v>
      </c>
      <c r="BO79" s="10"/>
    </row>
    <row r="80" spans="66:67" x14ac:dyDescent="0.3">
      <c r="BN80">
        <v>149</v>
      </c>
      <c r="BO80" s="10"/>
    </row>
    <row r="81" spans="66:67" x14ac:dyDescent="0.3">
      <c r="BN81">
        <v>148</v>
      </c>
      <c r="BO81" s="10"/>
    </row>
    <row r="82" spans="66:67" x14ac:dyDescent="0.3">
      <c r="BN82">
        <v>139</v>
      </c>
      <c r="BO82" s="10"/>
    </row>
    <row r="83" spans="66:67" x14ac:dyDescent="0.3">
      <c r="BN83">
        <v>138</v>
      </c>
      <c r="BO83" s="10"/>
    </row>
    <row r="84" spans="66:67" x14ac:dyDescent="0.3">
      <c r="BN84">
        <v>138</v>
      </c>
      <c r="BO84" s="10"/>
    </row>
    <row r="85" spans="66:67" x14ac:dyDescent="0.3">
      <c r="BN85">
        <v>137</v>
      </c>
      <c r="BO85" s="10"/>
    </row>
    <row r="86" spans="66:67" x14ac:dyDescent="0.3">
      <c r="BN86">
        <v>136</v>
      </c>
      <c r="BO86" s="10"/>
    </row>
    <row r="87" spans="66:67" x14ac:dyDescent="0.3">
      <c r="BN87">
        <v>129</v>
      </c>
      <c r="BO87" s="10"/>
    </row>
    <row r="88" spans="66:67" x14ac:dyDescent="0.3">
      <c r="BN88">
        <v>129</v>
      </c>
      <c r="BO88" s="10"/>
    </row>
    <row r="89" spans="66:67" x14ac:dyDescent="0.3">
      <c r="BN89">
        <v>128</v>
      </c>
      <c r="BO89" s="10"/>
    </row>
    <row r="90" spans="66:67" x14ac:dyDescent="0.3">
      <c r="BN90">
        <v>128</v>
      </c>
      <c r="BO90" s="10"/>
    </row>
    <row r="91" spans="66:67" x14ac:dyDescent="0.3">
      <c r="BN91">
        <v>134</v>
      </c>
      <c r="BO91" s="10"/>
    </row>
    <row r="92" spans="66:67" x14ac:dyDescent="0.3">
      <c r="BN92">
        <v>133</v>
      </c>
      <c r="BO92" s="10"/>
    </row>
    <row r="93" spans="66:67" x14ac:dyDescent="0.3">
      <c r="BN93">
        <v>132</v>
      </c>
      <c r="BO93" s="10"/>
    </row>
    <row r="94" spans="66:67" x14ac:dyDescent="0.3">
      <c r="BN94">
        <v>133</v>
      </c>
      <c r="BO94" s="10"/>
    </row>
    <row r="95" spans="66:67" x14ac:dyDescent="0.3">
      <c r="BN95">
        <v>132</v>
      </c>
      <c r="BO95" s="10"/>
    </row>
    <row r="96" spans="66:67" x14ac:dyDescent="0.3">
      <c r="BN96">
        <v>135</v>
      </c>
      <c r="BO96" s="10"/>
    </row>
    <row r="97" spans="66:67" x14ac:dyDescent="0.3">
      <c r="BN97">
        <v>135</v>
      </c>
      <c r="BO97" s="10"/>
    </row>
    <row r="98" spans="66:67" x14ac:dyDescent="0.3">
      <c r="BN98">
        <v>135</v>
      </c>
      <c r="BO98" s="10"/>
    </row>
    <row r="99" spans="66:67" x14ac:dyDescent="0.3">
      <c r="BN99">
        <v>134</v>
      </c>
      <c r="BO99" s="10"/>
    </row>
    <row r="100" spans="66:67" x14ac:dyDescent="0.3">
      <c r="BN100">
        <v>133</v>
      </c>
      <c r="BO100" s="10"/>
    </row>
    <row r="101" spans="66:67" x14ac:dyDescent="0.3">
      <c r="BN101">
        <v>133</v>
      </c>
      <c r="BO101" s="10"/>
    </row>
    <row r="102" spans="66:67" x14ac:dyDescent="0.3">
      <c r="BN102">
        <v>137</v>
      </c>
      <c r="BO102" s="10"/>
    </row>
    <row r="103" spans="66:67" x14ac:dyDescent="0.3">
      <c r="BN103">
        <v>136</v>
      </c>
      <c r="BO103" s="10"/>
    </row>
    <row r="104" spans="66:67" x14ac:dyDescent="0.3">
      <c r="BN104">
        <v>136</v>
      </c>
      <c r="BO104" s="10"/>
    </row>
    <row r="105" spans="66:67" x14ac:dyDescent="0.3">
      <c r="BN105">
        <v>136</v>
      </c>
      <c r="BO105" s="10"/>
    </row>
    <row r="106" spans="66:67" x14ac:dyDescent="0.3">
      <c r="BN106">
        <v>136</v>
      </c>
      <c r="BO106" s="10"/>
    </row>
    <row r="107" spans="66:67" x14ac:dyDescent="0.3">
      <c r="BN107">
        <v>137</v>
      </c>
      <c r="BO107" s="10"/>
    </row>
    <row r="108" spans="66:67" x14ac:dyDescent="0.3">
      <c r="BN108">
        <v>137</v>
      </c>
      <c r="BO108" s="10"/>
    </row>
    <row r="109" spans="66:67" x14ac:dyDescent="0.3">
      <c r="BN109">
        <v>132</v>
      </c>
      <c r="BO109" s="10"/>
    </row>
    <row r="110" spans="66:67" x14ac:dyDescent="0.3">
      <c r="BN110">
        <v>132</v>
      </c>
      <c r="BO110" s="10"/>
    </row>
    <row r="111" spans="66:67" x14ac:dyDescent="0.3">
      <c r="BN111">
        <v>132</v>
      </c>
      <c r="BO111" s="10"/>
    </row>
    <row r="112" spans="66:67" x14ac:dyDescent="0.3">
      <c r="BN112">
        <v>133</v>
      </c>
      <c r="BO112" s="10"/>
    </row>
    <row r="113" spans="66:67" x14ac:dyDescent="0.3">
      <c r="BN113">
        <v>138</v>
      </c>
      <c r="BO113" s="10"/>
    </row>
    <row r="114" spans="66:67" x14ac:dyDescent="0.3">
      <c r="BN114">
        <v>139</v>
      </c>
      <c r="BO114" s="10"/>
    </row>
    <row r="115" spans="66:67" x14ac:dyDescent="0.3">
      <c r="BN115">
        <v>143</v>
      </c>
      <c r="BO115" s="10"/>
    </row>
    <row r="116" spans="66:67" x14ac:dyDescent="0.3">
      <c r="BN116">
        <v>143</v>
      </c>
      <c r="BO116" s="10"/>
    </row>
    <row r="117" spans="66:67" x14ac:dyDescent="0.3">
      <c r="BN117">
        <v>146</v>
      </c>
      <c r="BO117" s="10"/>
    </row>
    <row r="118" spans="66:67" x14ac:dyDescent="0.3">
      <c r="BN118">
        <v>146</v>
      </c>
      <c r="BO118" s="10"/>
    </row>
    <row r="119" spans="66:67" x14ac:dyDescent="0.3">
      <c r="BN119">
        <v>143</v>
      </c>
      <c r="BO119" s="10"/>
    </row>
    <row r="120" spans="66:67" x14ac:dyDescent="0.3">
      <c r="BN120">
        <v>143</v>
      </c>
      <c r="BO120" s="10"/>
    </row>
    <row r="121" spans="66:67" x14ac:dyDescent="0.3">
      <c r="BN121">
        <v>143</v>
      </c>
      <c r="BO121" s="10"/>
    </row>
    <row r="122" spans="66:67" x14ac:dyDescent="0.3">
      <c r="BO122" s="10"/>
    </row>
  </sheetData>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I54"/>
  <sheetViews>
    <sheetView tabSelected="1" zoomScale="107" zoomScaleNormal="107" workbookViewId="0">
      <selection activeCell="F5" sqref="F5:I5"/>
    </sheetView>
  </sheetViews>
  <sheetFormatPr defaultColWidth="0" defaultRowHeight="14.4" zeroHeight="1" x14ac:dyDescent="0.3"/>
  <cols>
    <col min="1" max="1" width="1.44140625" customWidth="1"/>
    <col min="2" max="9" width="5.33203125" customWidth="1"/>
    <col min="10" max="10" width="2.109375" customWidth="1"/>
    <col min="11" max="12" width="5.33203125" customWidth="1"/>
    <col min="13" max="13" width="4.6640625" customWidth="1"/>
    <col min="14" max="16" width="5.33203125" customWidth="1"/>
    <col min="17" max="17" width="4.6640625" customWidth="1"/>
    <col min="18" max="18" width="5.33203125" customWidth="1"/>
    <col min="19" max="19" width="1" customWidth="1"/>
    <col min="20" max="21" width="5.33203125" customWidth="1"/>
    <col min="22" max="22" width="4.6640625" customWidth="1"/>
    <col min="23" max="25" width="5.33203125" customWidth="1"/>
    <col min="26" max="26" width="4.6640625" customWidth="1"/>
    <col min="27" max="27" width="5.33203125" customWidth="1"/>
    <col min="28" max="28" width="1.88671875" customWidth="1"/>
    <col min="29" max="34" width="5.6640625" customWidth="1"/>
    <col min="35" max="35" width="2" customWidth="1"/>
    <col min="36" max="16384" width="9.109375" hidden="1"/>
  </cols>
  <sheetData>
    <row r="1" spans="1:34" ht="6.75" customHeight="1" x14ac:dyDescent="0.3">
      <c r="A1" s="75"/>
    </row>
    <row r="2" spans="1:34" x14ac:dyDescent="0.3">
      <c r="B2" s="134" t="s">
        <v>0</v>
      </c>
      <c r="C2" s="135"/>
      <c r="D2" s="135"/>
      <c r="E2" s="136"/>
      <c r="F2" s="30" t="s">
        <v>25</v>
      </c>
      <c r="G2" s="30"/>
      <c r="H2" s="31" t="s">
        <v>220</v>
      </c>
      <c r="I2" s="29"/>
      <c r="K2" s="137" t="s">
        <v>5</v>
      </c>
      <c r="L2" s="138"/>
      <c r="M2" s="138"/>
      <c r="N2" s="138"/>
      <c r="O2" s="138"/>
      <c r="P2" s="138"/>
      <c r="Q2" s="138"/>
      <c r="R2" s="139"/>
      <c r="T2" s="137" t="s">
        <v>227</v>
      </c>
      <c r="U2" s="138"/>
      <c r="V2" s="138"/>
      <c r="W2" s="138"/>
      <c r="X2" s="138"/>
      <c r="Y2" s="138"/>
      <c r="Z2" s="138"/>
      <c r="AA2" s="139"/>
      <c r="AC2" s="132" t="s">
        <v>31</v>
      </c>
      <c r="AD2" s="133"/>
      <c r="AE2" s="133"/>
      <c r="AF2" s="73" t="s">
        <v>4</v>
      </c>
      <c r="AG2" s="133" t="s">
        <v>39</v>
      </c>
      <c r="AH2" s="145"/>
    </row>
    <row r="3" spans="1:34" ht="15" customHeight="1" x14ac:dyDescent="0.3">
      <c r="B3" s="108" t="s">
        <v>226</v>
      </c>
      <c r="C3" s="109"/>
      <c r="D3" s="109"/>
      <c r="E3" s="110"/>
      <c r="F3" s="14" t="s">
        <v>26</v>
      </c>
      <c r="G3" s="14"/>
      <c r="H3" s="12">
        <v>7.15</v>
      </c>
      <c r="I3" s="32"/>
      <c r="K3" s="140" t="s">
        <v>2</v>
      </c>
      <c r="L3" s="141"/>
      <c r="M3" s="141"/>
      <c r="N3" s="141"/>
      <c r="O3" s="141" t="s">
        <v>3</v>
      </c>
      <c r="P3" s="141"/>
      <c r="Q3" s="141"/>
      <c r="R3" s="142"/>
      <c r="T3" s="140" t="s">
        <v>2</v>
      </c>
      <c r="U3" s="141"/>
      <c r="V3" s="141"/>
      <c r="W3" s="141"/>
      <c r="X3" s="141" t="s">
        <v>3</v>
      </c>
      <c r="Y3" s="141"/>
      <c r="Z3" s="141"/>
      <c r="AA3" s="142"/>
      <c r="AC3" s="143" t="s">
        <v>36</v>
      </c>
      <c r="AD3" s="144"/>
      <c r="AE3" s="144"/>
      <c r="AF3" s="74">
        <f>AF4+AF5</f>
        <v>0</v>
      </c>
      <c r="AG3" s="150">
        <f>AG4+AG5</f>
        <v>-114</v>
      </c>
      <c r="AH3" s="151"/>
    </row>
    <row r="4" spans="1:34" ht="15" customHeight="1" x14ac:dyDescent="0.3">
      <c r="B4" s="111"/>
      <c r="C4" s="112"/>
      <c r="D4" s="112"/>
      <c r="E4" s="113"/>
      <c r="F4" s="14" t="s">
        <v>41</v>
      </c>
      <c r="G4" s="14"/>
      <c r="H4" s="12" t="s">
        <v>222</v>
      </c>
      <c r="I4" s="32"/>
      <c r="K4" s="114">
        <v>142</v>
      </c>
      <c r="L4" s="115"/>
      <c r="M4" s="115"/>
      <c r="N4" s="115"/>
      <c r="O4" s="118">
        <f>K4-1</f>
        <v>141</v>
      </c>
      <c r="P4" s="118"/>
      <c r="Q4" s="118"/>
      <c r="R4" s="119"/>
      <c r="T4" s="114">
        <v>8</v>
      </c>
      <c r="U4" s="115"/>
      <c r="V4" s="115"/>
      <c r="W4" s="115"/>
      <c r="X4" s="118">
        <f>T4-1</f>
        <v>7</v>
      </c>
      <c r="Y4" s="118"/>
      <c r="Z4" s="118"/>
      <c r="AA4" s="119"/>
      <c r="AC4" s="124" t="s">
        <v>37</v>
      </c>
      <c r="AD4" s="125"/>
      <c r="AE4" s="126"/>
      <c r="AF4" s="33">
        <f>K10</f>
        <v>0</v>
      </c>
      <c r="AG4" s="146">
        <f>(IF(K10&gt;0,Dashboard!O4*K10*-1,IF(K10&lt;0,K4*K10*-1))+SUMPRODUCT(TradeBook!C:C,TradeBook!D:D))*-1</f>
        <v>-70</v>
      </c>
      <c r="AH4" s="147"/>
    </row>
    <row r="5" spans="1:34" ht="15" customHeight="1" x14ac:dyDescent="0.3">
      <c r="B5" s="122">
        <v>20</v>
      </c>
      <c r="C5" s="123"/>
      <c r="D5" s="123"/>
      <c r="E5" s="123"/>
      <c r="F5" s="96" t="s">
        <v>191</v>
      </c>
      <c r="G5" s="97"/>
      <c r="H5" s="97"/>
      <c r="I5" s="98"/>
      <c r="K5" s="114"/>
      <c r="L5" s="115"/>
      <c r="M5" s="115"/>
      <c r="N5" s="115"/>
      <c r="O5" s="118"/>
      <c r="P5" s="118"/>
      <c r="Q5" s="118"/>
      <c r="R5" s="119"/>
      <c r="T5" s="114"/>
      <c r="U5" s="115"/>
      <c r="V5" s="115"/>
      <c r="W5" s="115"/>
      <c r="X5" s="118"/>
      <c r="Y5" s="118"/>
      <c r="Z5" s="118"/>
      <c r="AA5" s="119"/>
      <c r="AC5" s="127" t="s">
        <v>38</v>
      </c>
      <c r="AD5" s="128"/>
      <c r="AE5" s="129"/>
      <c r="AF5" s="34">
        <f>T10</f>
        <v>0</v>
      </c>
      <c r="AG5" s="148">
        <f>(IF(T10&gt;0,X4*T10*-1,IF(T10&lt;0,T4*T10*-1))+SUMPRODUCT(TradeBook!H:H,TradeBook!I:I))*-1</f>
        <v>-44</v>
      </c>
      <c r="AH5" s="149"/>
    </row>
    <row r="6" spans="1:34" ht="15.75" customHeight="1" x14ac:dyDescent="0.3">
      <c r="B6" s="22" t="s">
        <v>225</v>
      </c>
      <c r="C6" s="23"/>
      <c r="D6" s="23"/>
      <c r="E6" s="23"/>
      <c r="F6" s="54"/>
      <c r="G6" s="55"/>
      <c r="H6" s="55"/>
      <c r="I6" s="56"/>
      <c r="K6" s="114"/>
      <c r="L6" s="115"/>
      <c r="M6" s="115"/>
      <c r="N6" s="115"/>
      <c r="O6" s="118"/>
      <c r="P6" s="118"/>
      <c r="Q6" s="118"/>
      <c r="R6" s="119"/>
      <c r="T6" s="114"/>
      <c r="U6" s="115"/>
      <c r="V6" s="115"/>
      <c r="W6" s="115"/>
      <c r="X6" s="118"/>
      <c r="Y6" s="118"/>
      <c r="Z6" s="118"/>
      <c r="AA6" s="119"/>
      <c r="AC6" s="130" t="s">
        <v>32</v>
      </c>
      <c r="AD6" s="131"/>
      <c r="AE6" s="131"/>
      <c r="AF6" s="131" t="s">
        <v>33</v>
      </c>
      <c r="AG6" s="131"/>
      <c r="AH6" s="152"/>
    </row>
    <row r="7" spans="1:34" ht="15" customHeight="1" x14ac:dyDescent="0.3">
      <c r="B7" s="24" t="s">
        <v>13</v>
      </c>
      <c r="C7" s="15" t="s">
        <v>14</v>
      </c>
      <c r="D7" s="15" t="s">
        <v>15</v>
      </c>
      <c r="E7" s="15" t="s">
        <v>27</v>
      </c>
      <c r="F7" s="15" t="s">
        <v>16</v>
      </c>
      <c r="G7" s="15" t="s">
        <v>17</v>
      </c>
      <c r="H7" s="15" t="s">
        <v>18</v>
      </c>
      <c r="I7" s="25" t="s">
        <v>19</v>
      </c>
      <c r="K7" s="116"/>
      <c r="L7" s="117"/>
      <c r="M7" s="117"/>
      <c r="N7" s="117"/>
      <c r="O7" s="120"/>
      <c r="P7" s="120"/>
      <c r="Q7" s="120"/>
      <c r="R7" s="121"/>
      <c r="T7" s="116"/>
      <c r="U7" s="117"/>
      <c r="V7" s="117"/>
      <c r="W7" s="117"/>
      <c r="X7" s="120"/>
      <c r="Y7" s="120"/>
      <c r="Z7" s="120"/>
      <c r="AA7" s="121"/>
      <c r="AC7" s="65" t="s">
        <v>24</v>
      </c>
      <c r="AD7" s="36" t="s">
        <v>1</v>
      </c>
      <c r="AE7" s="37" t="s">
        <v>6</v>
      </c>
      <c r="AF7" s="35" t="s">
        <v>24</v>
      </c>
      <c r="AG7" s="36" t="s">
        <v>1</v>
      </c>
      <c r="AH7" s="66" t="s">
        <v>6</v>
      </c>
    </row>
    <row r="8" spans="1:34" x14ac:dyDescent="0.3">
      <c r="B8" s="26">
        <v>50</v>
      </c>
      <c r="C8" s="27">
        <v>25</v>
      </c>
      <c r="D8" s="27">
        <v>108</v>
      </c>
      <c r="E8" s="27">
        <v>18</v>
      </c>
      <c r="F8" s="27">
        <v>0</v>
      </c>
      <c r="G8" s="27">
        <v>0</v>
      </c>
      <c r="H8" s="27">
        <v>4.320000171661377</v>
      </c>
      <c r="I8" s="28">
        <v>72.970001220703125</v>
      </c>
      <c r="K8" s="101" t="s">
        <v>8</v>
      </c>
      <c r="L8" s="101"/>
      <c r="M8" s="101"/>
      <c r="N8" s="101"/>
      <c r="O8" s="101"/>
      <c r="P8" s="101"/>
      <c r="Q8" s="101"/>
      <c r="R8" s="101"/>
      <c r="T8" s="101" t="s">
        <v>8</v>
      </c>
      <c r="U8" s="101"/>
      <c r="V8" s="101"/>
      <c r="W8" s="101"/>
      <c r="X8" s="101"/>
      <c r="Y8" s="101"/>
      <c r="Z8" s="101"/>
      <c r="AA8" s="101"/>
      <c r="AC8" s="67">
        <f ca="1">INDIRECT("TradeBook!B"&amp;ROW()-7)</f>
        <v>20</v>
      </c>
      <c r="AD8" s="39">
        <f ca="1">INDIRECT("TradeBook!C"&amp;ROW()-7)</f>
        <v>143</v>
      </c>
      <c r="AE8" s="39">
        <f ca="1">INDIRECT("TradeBook!D"&amp;ROW()-7)</f>
        <v>-2</v>
      </c>
      <c r="AF8" s="38">
        <f ca="1">INDIRECT("TradeBook!G"&amp;ROW()-7)</f>
        <v>0</v>
      </c>
      <c r="AG8" s="38">
        <f ca="1">INDIRECT("TradeBook!H"&amp;ROW()-7)</f>
        <v>0</v>
      </c>
      <c r="AH8" s="68">
        <f ca="1">INDIRECT("TradeBook!I"&amp;ROW()-7)</f>
        <v>0</v>
      </c>
    </row>
    <row r="9" spans="1:34" x14ac:dyDescent="0.3">
      <c r="B9" s="22" t="s">
        <v>81</v>
      </c>
      <c r="C9" s="23"/>
      <c r="D9" s="23"/>
      <c r="E9" s="23"/>
      <c r="F9" s="23"/>
      <c r="G9" s="23"/>
      <c r="H9" s="23"/>
      <c r="I9" s="29"/>
      <c r="K9" s="100" t="s">
        <v>4</v>
      </c>
      <c r="L9" s="100"/>
      <c r="M9" s="41"/>
      <c r="N9" s="42"/>
      <c r="O9" s="43">
        <f>O10+1</f>
        <v>145</v>
      </c>
      <c r="P9" s="44">
        <f ca="1">RANDBETWEEN(30,40)</f>
        <v>36</v>
      </c>
      <c r="Q9" s="45"/>
      <c r="R9" s="46">
        <f t="shared" ref="R9:R11" ca="1" si="0">P9</f>
        <v>36</v>
      </c>
      <c r="T9" s="100" t="s">
        <v>4</v>
      </c>
      <c r="U9" s="100"/>
      <c r="V9" s="41"/>
      <c r="W9" s="42"/>
      <c r="X9" s="43">
        <f>X10+1</f>
        <v>11</v>
      </c>
      <c r="Y9" s="44">
        <f ca="1">RANDBETWEEN(30,40)</f>
        <v>33</v>
      </c>
      <c r="Z9" s="45"/>
      <c r="AA9" s="46">
        <f t="shared" ref="AA9:AA11" ca="1" si="1">Y9</f>
        <v>33</v>
      </c>
      <c r="AC9" s="67">
        <f t="shared" ref="AC9:AC32" ca="1" si="2">INDIRECT("TradeBook!B"&amp;ROW()-7)</f>
        <v>17.5</v>
      </c>
      <c r="AD9" s="39">
        <f t="shared" ref="AD9:AD32" ca="1" si="3">INDIRECT("TradeBook!C"&amp;ROW()-7)</f>
        <v>158</v>
      </c>
      <c r="AE9" s="39">
        <f t="shared" ref="AE9:AE32" ca="1" si="4">INDIRECT("TradeBook!D"&amp;ROW()-7)</f>
        <v>-1</v>
      </c>
      <c r="AF9" s="38">
        <f t="shared" ref="AF9:AF32" ca="1" si="5">INDIRECT("TradeBook!G"&amp;ROW()-7)</f>
        <v>0</v>
      </c>
      <c r="AG9" s="38">
        <f t="shared" ref="AG9:AG32" ca="1" si="6">INDIRECT("TradeBook!H"&amp;ROW()-7)</f>
        <v>0</v>
      </c>
      <c r="AH9" s="68">
        <f t="shared" ref="AH9:AH32" ca="1" si="7">INDIRECT("TradeBook!I"&amp;ROW()-7)</f>
        <v>0</v>
      </c>
    </row>
    <row r="10" spans="1:34" x14ac:dyDescent="0.3">
      <c r="B10" s="24" t="s">
        <v>13</v>
      </c>
      <c r="C10" s="15" t="s">
        <v>28</v>
      </c>
      <c r="D10" s="15" t="s">
        <v>15</v>
      </c>
      <c r="E10" s="15" t="s">
        <v>29</v>
      </c>
      <c r="F10" s="15" t="s">
        <v>18</v>
      </c>
      <c r="G10" s="15" t="s">
        <v>30</v>
      </c>
      <c r="H10" s="15" t="s">
        <v>214</v>
      </c>
      <c r="I10" s="25" t="s">
        <v>215</v>
      </c>
      <c r="K10" s="107">
        <f>SUM(TradeBook!D:D)</f>
        <v>0</v>
      </c>
      <c r="L10" s="107"/>
      <c r="M10" s="7"/>
      <c r="N10" s="5"/>
      <c r="O10" s="2">
        <f>O11+1</f>
        <v>144</v>
      </c>
      <c r="P10" s="3">
        <f ca="1">RANDBETWEEN(300,400)</f>
        <v>325</v>
      </c>
      <c r="Q10" s="8"/>
      <c r="R10" s="47">
        <f t="shared" ca="1" si="0"/>
        <v>325</v>
      </c>
      <c r="T10" s="107">
        <f>SUM(TradeBook!I:I)</f>
        <v>0</v>
      </c>
      <c r="U10" s="107"/>
      <c r="V10" s="7"/>
      <c r="W10" s="5"/>
      <c r="X10" s="2">
        <f>X11+1</f>
        <v>10</v>
      </c>
      <c r="Y10" s="3">
        <f ca="1">RANDBETWEEN(300,400)</f>
        <v>306</v>
      </c>
      <c r="Z10" s="8"/>
      <c r="AA10" s="47">
        <f t="shared" ca="1" si="1"/>
        <v>306</v>
      </c>
      <c r="AC10" s="67">
        <f t="shared" ca="1" si="2"/>
        <v>0</v>
      </c>
      <c r="AD10" s="39">
        <f t="shared" ca="1" si="3"/>
        <v>0</v>
      </c>
      <c r="AE10" s="39">
        <f t="shared" ca="1" si="4"/>
        <v>0</v>
      </c>
      <c r="AF10" s="38">
        <f t="shared" ca="1" si="5"/>
        <v>8</v>
      </c>
      <c r="AG10" s="38">
        <f t="shared" ca="1" si="6"/>
        <v>8</v>
      </c>
      <c r="AH10" s="68">
        <f t="shared" ca="1" si="7"/>
        <v>44</v>
      </c>
    </row>
    <row r="11" spans="1:34" x14ac:dyDescent="0.3">
      <c r="B11" s="26">
        <v>184</v>
      </c>
      <c r="C11" s="27">
        <v>3272</v>
      </c>
      <c r="D11" s="27">
        <v>4243</v>
      </c>
      <c r="E11" s="27">
        <v>135</v>
      </c>
      <c r="F11" s="27">
        <v>31.420000076293945</v>
      </c>
      <c r="G11" s="27">
        <v>7.7800002098083496</v>
      </c>
      <c r="H11" s="27">
        <v>1</v>
      </c>
      <c r="I11" s="28">
        <v>0</v>
      </c>
      <c r="K11" s="100" t="s">
        <v>6</v>
      </c>
      <c r="L11" s="100"/>
      <c r="M11" s="7"/>
      <c r="N11" s="5"/>
      <c r="O11" s="2">
        <f>O12+1</f>
        <v>143</v>
      </c>
      <c r="P11" s="3">
        <f ca="1">RANDBETWEEN(200,400)</f>
        <v>335</v>
      </c>
      <c r="Q11" s="8"/>
      <c r="R11" s="47">
        <f t="shared" ca="1" si="0"/>
        <v>335</v>
      </c>
      <c r="T11" s="100" t="s">
        <v>6</v>
      </c>
      <c r="U11" s="100"/>
      <c r="V11" s="7"/>
      <c r="W11" s="5"/>
      <c r="X11" s="2">
        <f>X12+1</f>
        <v>9</v>
      </c>
      <c r="Y11" s="3">
        <f ca="1">RANDBETWEEN(200,400)</f>
        <v>249</v>
      </c>
      <c r="Z11" s="8"/>
      <c r="AA11" s="47">
        <f t="shared" ca="1" si="1"/>
        <v>249</v>
      </c>
      <c r="AC11" s="67">
        <f t="shared" ca="1" si="2"/>
        <v>7.1</v>
      </c>
      <c r="AD11" s="39">
        <f t="shared" ca="1" si="3"/>
        <v>170</v>
      </c>
      <c r="AE11" s="39">
        <f t="shared" ca="1" si="4"/>
        <v>-1</v>
      </c>
      <c r="AF11" s="38">
        <f t="shared" ca="1" si="5"/>
        <v>0</v>
      </c>
      <c r="AG11" s="38">
        <f t="shared" ca="1" si="6"/>
        <v>0</v>
      </c>
      <c r="AH11" s="68">
        <f t="shared" ca="1" si="7"/>
        <v>0</v>
      </c>
    </row>
    <row r="12" spans="1:34" x14ac:dyDescent="0.3">
      <c r="K12" s="107">
        <v>1</v>
      </c>
      <c r="L12" s="107"/>
      <c r="M12" s="7"/>
      <c r="N12" s="5"/>
      <c r="O12" s="2">
        <f>K4</f>
        <v>142</v>
      </c>
      <c r="P12" s="3">
        <f ca="1">RANDBETWEEN(200,300)</f>
        <v>204</v>
      </c>
      <c r="Q12" s="8"/>
      <c r="R12" s="47">
        <f ca="1">P12</f>
        <v>204</v>
      </c>
      <c r="T12" s="107">
        <v>11</v>
      </c>
      <c r="U12" s="107"/>
      <c r="V12" s="7"/>
      <c r="W12" s="5"/>
      <c r="X12" s="2">
        <f>T4</f>
        <v>8</v>
      </c>
      <c r="Y12" s="3">
        <f ca="1">RANDBETWEEN(200,300)</f>
        <v>267</v>
      </c>
      <c r="Z12" s="8"/>
      <c r="AA12" s="47">
        <f ca="1">Y12</f>
        <v>267</v>
      </c>
      <c r="AC12" s="67">
        <f t="shared" ca="1" si="2"/>
        <v>0</v>
      </c>
      <c r="AD12" s="39">
        <f t="shared" ca="1" si="3"/>
        <v>0</v>
      </c>
      <c r="AE12" s="39">
        <f t="shared" ca="1" si="4"/>
        <v>0</v>
      </c>
      <c r="AF12" s="38">
        <f t="shared" ca="1" si="5"/>
        <v>7.1</v>
      </c>
      <c r="AG12" s="38">
        <f t="shared" ca="1" si="6"/>
        <v>6</v>
      </c>
      <c r="AH12" s="68">
        <f t="shared" ca="1" si="7"/>
        <v>-11</v>
      </c>
    </row>
    <row r="13" spans="1:34" x14ac:dyDescent="0.3">
      <c r="B13" s="18" t="s">
        <v>12</v>
      </c>
      <c r="C13" s="18"/>
      <c r="D13" s="18"/>
      <c r="E13" s="19" t="s">
        <v>21</v>
      </c>
      <c r="F13" s="19" t="s">
        <v>23</v>
      </c>
      <c r="G13" s="19" t="s">
        <v>10</v>
      </c>
      <c r="H13" s="19" t="s">
        <v>11</v>
      </c>
      <c r="I13" s="19" t="s">
        <v>22</v>
      </c>
      <c r="K13" s="40">
        <v>1</v>
      </c>
      <c r="L13" s="40">
        <v>2</v>
      </c>
      <c r="M13" s="7"/>
      <c r="N13" s="6">
        <f ca="1">RANDBETWEEN(200,400)</f>
        <v>345</v>
      </c>
      <c r="O13" s="2">
        <f>O4</f>
        <v>141</v>
      </c>
      <c r="P13" s="4"/>
      <c r="Q13" s="8"/>
      <c r="R13" s="47">
        <f ca="1">N13</f>
        <v>345</v>
      </c>
      <c r="T13" s="40">
        <v>1</v>
      </c>
      <c r="U13" s="40">
        <v>2</v>
      </c>
      <c r="V13" s="7"/>
      <c r="W13" s="6">
        <f ca="1">RANDBETWEEN(300,400)</f>
        <v>305</v>
      </c>
      <c r="X13" s="2">
        <f>X4</f>
        <v>7</v>
      </c>
      <c r="Y13" s="4"/>
      <c r="Z13" s="8"/>
      <c r="AA13" s="47">
        <f ca="1">W13</f>
        <v>305</v>
      </c>
      <c r="AC13" s="67">
        <f t="shared" ca="1" si="2"/>
        <v>0</v>
      </c>
      <c r="AD13" s="39">
        <f t="shared" ca="1" si="3"/>
        <v>0</v>
      </c>
      <c r="AE13" s="39">
        <f t="shared" ca="1" si="4"/>
        <v>0</v>
      </c>
      <c r="AF13" s="38">
        <f t="shared" ca="1" si="5"/>
        <v>7.1</v>
      </c>
      <c r="AG13" s="38">
        <f t="shared" ca="1" si="6"/>
        <v>6</v>
      </c>
      <c r="AH13" s="68">
        <f t="shared" ca="1" si="7"/>
        <v>-11</v>
      </c>
    </row>
    <row r="14" spans="1:34" x14ac:dyDescent="0.3">
      <c r="B14" s="11" t="s">
        <v>56</v>
      </c>
      <c r="C14" s="12"/>
      <c r="D14" s="13"/>
      <c r="E14" s="78">
        <v>11</v>
      </c>
      <c r="F14" s="77">
        <v>11</v>
      </c>
      <c r="G14" s="77">
        <v>2</v>
      </c>
      <c r="H14" s="77">
        <v>0</v>
      </c>
      <c r="I14" s="89">
        <v>100</v>
      </c>
      <c r="K14" s="40">
        <v>5</v>
      </c>
      <c r="L14" s="40">
        <v>10</v>
      </c>
      <c r="M14" s="7"/>
      <c r="N14" s="6">
        <f ca="1">RANDBETWEEN(200,400)</f>
        <v>388</v>
      </c>
      <c r="O14" s="2">
        <f>O13-1</f>
        <v>140</v>
      </c>
      <c r="P14" s="4"/>
      <c r="Q14" s="8"/>
      <c r="R14" s="47">
        <f t="shared" ref="R14:R16" ca="1" si="8">N14</f>
        <v>388</v>
      </c>
      <c r="T14" s="40">
        <v>5</v>
      </c>
      <c r="U14" s="40">
        <v>10</v>
      </c>
      <c r="V14" s="7"/>
      <c r="W14" s="6">
        <f ca="1">RANDBETWEEN(200,400)</f>
        <v>275</v>
      </c>
      <c r="X14" s="2">
        <f>X13-1</f>
        <v>6</v>
      </c>
      <c r="Y14" s="4"/>
      <c r="Z14" s="8"/>
      <c r="AA14" s="47">
        <f t="shared" ref="AA14:AA16" ca="1" si="9">W14</f>
        <v>275</v>
      </c>
      <c r="AC14" s="67">
        <f t="shared" ca="1" si="2"/>
        <v>0</v>
      </c>
      <c r="AD14" s="39">
        <f t="shared" ca="1" si="3"/>
        <v>0</v>
      </c>
      <c r="AE14" s="39">
        <f t="shared" ca="1" si="4"/>
        <v>0</v>
      </c>
      <c r="AF14" s="38">
        <f t="shared" ca="1" si="5"/>
        <v>7.1</v>
      </c>
      <c r="AG14" s="38">
        <f t="shared" ca="1" si="6"/>
        <v>6</v>
      </c>
      <c r="AH14" s="68">
        <f t="shared" ca="1" si="7"/>
        <v>-11</v>
      </c>
    </row>
    <row r="15" spans="1:34" x14ac:dyDescent="0.3">
      <c r="B15" s="11" t="s">
        <v>64</v>
      </c>
      <c r="C15" s="12"/>
      <c r="D15" s="13"/>
      <c r="E15" s="78">
        <v>38</v>
      </c>
      <c r="F15" s="77">
        <v>22</v>
      </c>
      <c r="G15" s="77">
        <v>5</v>
      </c>
      <c r="H15" s="77">
        <v>2</v>
      </c>
      <c r="I15" s="89">
        <v>172.73</v>
      </c>
      <c r="K15" s="40">
        <v>15</v>
      </c>
      <c r="L15" s="40">
        <v>20</v>
      </c>
      <c r="M15" s="7"/>
      <c r="N15" s="6">
        <f ca="1">RANDBETWEEN(200,400)</f>
        <v>358</v>
      </c>
      <c r="O15" s="2">
        <f>O14-1</f>
        <v>139</v>
      </c>
      <c r="P15" s="4"/>
      <c r="Q15" s="8"/>
      <c r="R15" s="47">
        <f t="shared" ca="1" si="8"/>
        <v>358</v>
      </c>
      <c r="T15" s="40">
        <v>15</v>
      </c>
      <c r="U15" s="40">
        <v>20</v>
      </c>
      <c r="V15" s="7"/>
      <c r="W15" s="6">
        <f ca="1">RANDBETWEEN(200,300)</f>
        <v>258</v>
      </c>
      <c r="X15" s="2">
        <f>X14-1</f>
        <v>5</v>
      </c>
      <c r="Y15" s="4"/>
      <c r="Z15" s="8"/>
      <c r="AA15" s="47">
        <f t="shared" ca="1" si="9"/>
        <v>258</v>
      </c>
      <c r="AC15" s="67">
        <f t="shared" ca="1" si="2"/>
        <v>0</v>
      </c>
      <c r="AD15" s="39">
        <f t="shared" ca="1" si="3"/>
        <v>0</v>
      </c>
      <c r="AE15" s="39">
        <f t="shared" ca="1" si="4"/>
        <v>0</v>
      </c>
      <c r="AF15" s="38">
        <f t="shared" ca="1" si="5"/>
        <v>7.1</v>
      </c>
      <c r="AG15" s="38">
        <f t="shared" ca="1" si="6"/>
        <v>6</v>
      </c>
      <c r="AH15" s="68">
        <f t="shared" ca="1" si="7"/>
        <v>-11</v>
      </c>
    </row>
    <row r="16" spans="1:34" x14ac:dyDescent="0.3">
      <c r="B16" s="11" t="s">
        <v>72</v>
      </c>
      <c r="C16" s="12"/>
      <c r="D16" s="13"/>
      <c r="E16" s="78">
        <v>15</v>
      </c>
      <c r="F16" s="77">
        <v>19</v>
      </c>
      <c r="G16" s="77">
        <v>0</v>
      </c>
      <c r="H16" s="77">
        <v>0</v>
      </c>
      <c r="I16" s="89">
        <v>78.95</v>
      </c>
      <c r="K16" s="99" t="s">
        <v>7</v>
      </c>
      <c r="L16" s="99"/>
      <c r="M16" s="48"/>
      <c r="N16" s="49">
        <f ca="1">RANDBETWEEN(200,400)</f>
        <v>338</v>
      </c>
      <c r="O16" s="50">
        <f>O15-1</f>
        <v>138</v>
      </c>
      <c r="P16" s="51"/>
      <c r="Q16" s="52"/>
      <c r="R16" s="53">
        <f t="shared" ca="1" si="8"/>
        <v>338</v>
      </c>
      <c r="T16" s="99" t="s">
        <v>7</v>
      </c>
      <c r="U16" s="99"/>
      <c r="V16" s="48"/>
      <c r="W16" s="49">
        <f ca="1">RANDBETWEEN(100,400)</f>
        <v>268</v>
      </c>
      <c r="X16" s="50">
        <f>X15-1</f>
        <v>4</v>
      </c>
      <c r="Y16" s="51"/>
      <c r="Z16" s="52"/>
      <c r="AA16" s="53">
        <f t="shared" ca="1" si="9"/>
        <v>268</v>
      </c>
      <c r="AC16" s="67">
        <f t="shared" ca="1" si="2"/>
        <v>7.1</v>
      </c>
      <c r="AD16" s="39">
        <f t="shared" ca="1" si="3"/>
        <v>171</v>
      </c>
      <c r="AE16" s="39">
        <f t="shared" ca="1" si="4"/>
        <v>1</v>
      </c>
      <c r="AF16" s="38">
        <f t="shared" ca="1" si="5"/>
        <v>0</v>
      </c>
      <c r="AG16" s="38">
        <f t="shared" ca="1" si="6"/>
        <v>0</v>
      </c>
      <c r="AH16" s="68">
        <f t="shared" ca="1" si="7"/>
        <v>0</v>
      </c>
    </row>
    <row r="17" spans="2:34" x14ac:dyDescent="0.3">
      <c r="B17" s="11" t="s">
        <v>80</v>
      </c>
      <c r="C17" s="12"/>
      <c r="D17" s="13"/>
      <c r="E17" s="78">
        <v>6</v>
      </c>
      <c r="F17" s="77">
        <v>4</v>
      </c>
      <c r="G17" s="77">
        <v>1</v>
      </c>
      <c r="H17" s="77">
        <v>0</v>
      </c>
      <c r="I17" s="89">
        <v>150</v>
      </c>
      <c r="K17" s="103" t="s">
        <v>223</v>
      </c>
      <c r="L17" s="104"/>
      <c r="M17" s="104"/>
      <c r="N17" s="104"/>
      <c r="O17" s="104"/>
      <c r="P17" s="104"/>
      <c r="Q17" s="104"/>
      <c r="R17" s="105"/>
      <c r="T17" s="103" t="s">
        <v>221</v>
      </c>
      <c r="U17" s="104"/>
      <c r="V17" s="104"/>
      <c r="W17" s="104"/>
      <c r="X17" s="104"/>
      <c r="Y17" s="104"/>
      <c r="Z17" s="104"/>
      <c r="AA17" s="105"/>
      <c r="AC17" s="67">
        <f t="shared" ca="1" si="2"/>
        <v>7.1</v>
      </c>
      <c r="AD17" s="39">
        <f t="shared" ca="1" si="3"/>
        <v>171</v>
      </c>
      <c r="AE17" s="39">
        <f t="shared" ca="1" si="4"/>
        <v>1</v>
      </c>
      <c r="AF17" s="38">
        <f t="shared" ca="1" si="5"/>
        <v>0</v>
      </c>
      <c r="AG17" s="38">
        <f t="shared" ca="1" si="6"/>
        <v>0</v>
      </c>
      <c r="AH17" s="68">
        <f t="shared" ca="1" si="7"/>
        <v>0</v>
      </c>
    </row>
    <row r="18" spans="2:34" x14ac:dyDescent="0.3">
      <c r="B18" s="11" t="s">
        <v>88</v>
      </c>
      <c r="C18" s="12"/>
      <c r="D18" s="13"/>
      <c r="E18" s="78">
        <v>14</v>
      </c>
      <c r="F18" s="77">
        <v>13</v>
      </c>
      <c r="G18" s="77">
        <v>0</v>
      </c>
      <c r="H18" s="77">
        <v>1</v>
      </c>
      <c r="I18" s="89">
        <v>107.69</v>
      </c>
      <c r="AC18" s="67">
        <f t="shared" ca="1" si="2"/>
        <v>7.1</v>
      </c>
      <c r="AD18" s="39">
        <f t="shared" ca="1" si="3"/>
        <v>171</v>
      </c>
      <c r="AE18" s="39">
        <f t="shared" ca="1" si="4"/>
        <v>1</v>
      </c>
      <c r="AF18" s="38">
        <f t="shared" ca="1" si="5"/>
        <v>0</v>
      </c>
      <c r="AG18" s="38">
        <f t="shared" ca="1" si="6"/>
        <v>0</v>
      </c>
      <c r="AH18" s="68">
        <f t="shared" ca="1" si="7"/>
        <v>0</v>
      </c>
    </row>
    <row r="19" spans="2:34" x14ac:dyDescent="0.3">
      <c r="B19" s="11" t="s">
        <v>96</v>
      </c>
      <c r="C19" s="12"/>
      <c r="D19" s="13"/>
      <c r="E19" s="78">
        <v>12</v>
      </c>
      <c r="F19" s="77">
        <v>7</v>
      </c>
      <c r="G19" s="77">
        <v>2</v>
      </c>
      <c r="H19" s="77">
        <v>0</v>
      </c>
      <c r="I19" s="89">
        <v>171.43</v>
      </c>
      <c r="K19" s="102"/>
      <c r="L19" s="102"/>
      <c r="M19" s="102"/>
      <c r="N19" s="102"/>
      <c r="O19" s="102"/>
      <c r="P19" s="102"/>
      <c r="Q19" s="102"/>
      <c r="R19" s="102"/>
      <c r="S19" s="102"/>
      <c r="T19" s="102"/>
      <c r="U19" s="102"/>
      <c r="V19" s="102"/>
      <c r="W19" s="102"/>
      <c r="X19" s="102"/>
      <c r="Y19" s="102"/>
      <c r="Z19" s="102"/>
      <c r="AA19" s="102"/>
      <c r="AC19" s="67">
        <f t="shared" ca="1" si="2"/>
        <v>7.1</v>
      </c>
      <c r="AD19" s="39">
        <f t="shared" ca="1" si="3"/>
        <v>171</v>
      </c>
      <c r="AE19" s="39">
        <f t="shared" ca="1" si="4"/>
        <v>1</v>
      </c>
      <c r="AF19" s="38">
        <f t="shared" ca="1" si="5"/>
        <v>0</v>
      </c>
      <c r="AG19" s="38">
        <f t="shared" ca="1" si="6"/>
        <v>0</v>
      </c>
      <c r="AH19" s="68">
        <f t="shared" ca="1" si="7"/>
        <v>0</v>
      </c>
    </row>
    <row r="20" spans="2:34" x14ac:dyDescent="0.3">
      <c r="B20" s="11" t="s">
        <v>104</v>
      </c>
      <c r="C20" s="12"/>
      <c r="D20" s="13"/>
      <c r="E20" s="78">
        <v>17</v>
      </c>
      <c r="F20" s="77">
        <v>18</v>
      </c>
      <c r="G20" s="77">
        <v>1</v>
      </c>
      <c r="H20" s="77">
        <v>1</v>
      </c>
      <c r="I20" s="89">
        <v>94.44</v>
      </c>
      <c r="K20" s="102"/>
      <c r="L20" s="102"/>
      <c r="M20" s="102"/>
      <c r="N20" s="102"/>
      <c r="O20" s="102"/>
      <c r="P20" s="102"/>
      <c r="Q20" s="102"/>
      <c r="R20" s="102"/>
      <c r="S20" s="102"/>
      <c r="T20" s="102"/>
      <c r="U20" s="102"/>
      <c r="V20" s="102"/>
      <c r="W20" s="102"/>
      <c r="X20" s="102"/>
      <c r="Y20" s="102"/>
      <c r="Z20" s="102"/>
      <c r="AA20" s="102"/>
      <c r="AC20" s="67">
        <f t="shared" ca="1" si="2"/>
        <v>0</v>
      </c>
      <c r="AD20" s="39">
        <f t="shared" ca="1" si="3"/>
        <v>0</v>
      </c>
      <c r="AE20" s="39">
        <f t="shared" ca="1" si="4"/>
        <v>0</v>
      </c>
      <c r="AF20" s="38">
        <f t="shared" ca="1" si="5"/>
        <v>1.4</v>
      </c>
      <c r="AG20" s="38">
        <f t="shared" ca="1" si="6"/>
        <v>9</v>
      </c>
      <c r="AH20" s="68">
        <f t="shared" ca="1" si="7"/>
        <v>11</v>
      </c>
    </row>
    <row r="21" spans="2:34" x14ac:dyDescent="0.3">
      <c r="B21" s="11" t="s">
        <v>111</v>
      </c>
      <c r="C21" s="12"/>
      <c r="D21" s="13"/>
      <c r="E21" s="78">
        <v>1</v>
      </c>
      <c r="F21" s="77">
        <v>4</v>
      </c>
      <c r="G21" s="77">
        <v>0</v>
      </c>
      <c r="H21" s="77">
        <v>0</v>
      </c>
      <c r="I21" s="89">
        <v>25</v>
      </c>
      <c r="K21" s="102"/>
      <c r="L21" s="102"/>
      <c r="M21" s="102"/>
      <c r="N21" s="102"/>
      <c r="O21" s="102"/>
      <c r="P21" s="102"/>
      <c r="Q21" s="102"/>
      <c r="R21" s="102"/>
      <c r="S21" s="102"/>
      <c r="T21" s="102"/>
      <c r="U21" s="102"/>
      <c r="V21" s="102"/>
      <c r="W21" s="102"/>
      <c r="X21" s="102"/>
      <c r="Y21" s="102"/>
      <c r="Z21" s="102"/>
      <c r="AA21" s="102"/>
      <c r="AC21" s="67">
        <f t="shared" ca="1" si="2"/>
        <v>0</v>
      </c>
      <c r="AD21" s="39">
        <f t="shared" ca="1" si="3"/>
        <v>0</v>
      </c>
      <c r="AE21" s="39">
        <f t="shared" ca="1" si="4"/>
        <v>0</v>
      </c>
      <c r="AF21" s="38">
        <f t="shared" ca="1" si="5"/>
        <v>1.1000000000000001</v>
      </c>
      <c r="AG21" s="38">
        <f t="shared" ca="1" si="6"/>
        <v>14</v>
      </c>
      <c r="AH21" s="68">
        <f t="shared" ca="1" si="7"/>
        <v>-11</v>
      </c>
    </row>
    <row r="22" spans="2:34" x14ac:dyDescent="0.3">
      <c r="B22" s="11" t="s">
        <v>118</v>
      </c>
      <c r="C22" s="12"/>
      <c r="D22" s="13"/>
      <c r="E22" s="78">
        <v>18</v>
      </c>
      <c r="F22" s="77">
        <v>16</v>
      </c>
      <c r="G22" s="77">
        <v>1</v>
      </c>
      <c r="H22" s="77">
        <v>1</v>
      </c>
      <c r="I22" s="89">
        <v>112.5</v>
      </c>
      <c r="K22" s="102"/>
      <c r="L22" s="102"/>
      <c r="M22" s="102"/>
      <c r="N22" s="102"/>
      <c r="O22" s="102"/>
      <c r="P22" s="102"/>
      <c r="Q22" s="102"/>
      <c r="R22" s="102"/>
      <c r="S22" s="102"/>
      <c r="T22" s="102"/>
      <c r="U22" s="102"/>
      <c r="V22" s="102"/>
      <c r="W22" s="102"/>
      <c r="X22" s="102"/>
      <c r="Y22" s="102"/>
      <c r="Z22" s="102"/>
      <c r="AA22" s="102"/>
      <c r="AC22" s="67">
        <f t="shared" ca="1" si="2"/>
        <v>0</v>
      </c>
      <c r="AD22" s="39">
        <f t="shared" ca="1" si="3"/>
        <v>0</v>
      </c>
      <c r="AE22" s="39">
        <f t="shared" ca="1" si="4"/>
        <v>0</v>
      </c>
      <c r="AF22" s="38">
        <f t="shared" ca="1" si="5"/>
        <v>1</v>
      </c>
      <c r="AG22" s="38">
        <f t="shared" ca="1" si="6"/>
        <v>6</v>
      </c>
      <c r="AH22" s="68">
        <f t="shared" ca="1" si="7"/>
        <v>-11</v>
      </c>
    </row>
    <row r="23" spans="2:34" x14ac:dyDescent="0.3">
      <c r="B23" s="11" t="s">
        <v>224</v>
      </c>
      <c r="C23" s="12"/>
      <c r="D23" s="13"/>
      <c r="E23" s="78">
        <v>10</v>
      </c>
      <c r="F23" s="77">
        <v>5</v>
      </c>
      <c r="G23" s="77">
        <v>2</v>
      </c>
      <c r="H23" s="77">
        <v>0</v>
      </c>
      <c r="I23" s="89">
        <v>200</v>
      </c>
      <c r="K23" s="102"/>
      <c r="L23" s="102"/>
      <c r="M23" s="102"/>
      <c r="N23" s="102"/>
      <c r="O23" s="102"/>
      <c r="P23" s="102"/>
      <c r="Q23" s="102"/>
      <c r="R23" s="102"/>
      <c r="S23" s="102"/>
      <c r="T23" s="102"/>
      <c r="U23" s="102"/>
      <c r="V23" s="102"/>
      <c r="W23" s="102"/>
      <c r="X23" s="102"/>
      <c r="Y23" s="102"/>
      <c r="Z23" s="102"/>
      <c r="AA23" s="102"/>
      <c r="AC23" s="67">
        <f t="shared" ca="1" si="2"/>
        <v>0</v>
      </c>
      <c r="AD23" s="39">
        <f t="shared" ca="1" si="3"/>
        <v>0</v>
      </c>
      <c r="AE23" s="39">
        <f t="shared" ca="1" si="4"/>
        <v>0</v>
      </c>
      <c r="AF23" s="38">
        <f t="shared" ca="1" si="5"/>
        <v>0.2</v>
      </c>
      <c r="AG23" s="38">
        <f t="shared" ca="1" si="6"/>
        <v>7</v>
      </c>
      <c r="AH23" s="68">
        <f t="shared" ca="1" si="7"/>
        <v>11</v>
      </c>
    </row>
    <row r="24" spans="2:34" x14ac:dyDescent="0.3">
      <c r="B24" s="11" t="s">
        <v>225</v>
      </c>
      <c r="C24" s="12"/>
      <c r="D24" s="13"/>
      <c r="E24" s="78">
        <v>1</v>
      </c>
      <c r="F24" s="77">
        <v>1</v>
      </c>
      <c r="G24" s="77">
        <v>0</v>
      </c>
      <c r="H24" s="77">
        <v>0</v>
      </c>
      <c r="I24" s="89">
        <v>100</v>
      </c>
      <c r="K24" s="102"/>
      <c r="L24" s="102"/>
      <c r="M24" s="102"/>
      <c r="N24" s="102"/>
      <c r="O24" s="102"/>
      <c r="P24" s="102"/>
      <c r="Q24" s="102"/>
      <c r="R24" s="102"/>
      <c r="S24" s="102"/>
      <c r="T24" s="102"/>
      <c r="U24" s="102"/>
      <c r="V24" s="102"/>
      <c r="W24" s="102"/>
      <c r="X24" s="102"/>
      <c r="Y24" s="102"/>
      <c r="Z24" s="102"/>
      <c r="AA24" s="102"/>
      <c r="AC24" s="67">
        <f t="shared" ca="1" si="2"/>
        <v>0</v>
      </c>
      <c r="AD24" s="39">
        <f t="shared" ca="1" si="3"/>
        <v>0</v>
      </c>
      <c r="AE24" s="39">
        <f t="shared" ca="1" si="4"/>
        <v>0</v>
      </c>
      <c r="AF24" s="38">
        <f t="shared" ca="1" si="5"/>
        <v>0</v>
      </c>
      <c r="AG24" s="38">
        <f t="shared" ca="1" si="6"/>
        <v>0</v>
      </c>
      <c r="AH24" s="68">
        <f t="shared" ca="1" si="7"/>
        <v>0</v>
      </c>
    </row>
    <row r="25" spans="2:34" x14ac:dyDescent="0.3">
      <c r="K25" s="102"/>
      <c r="L25" s="102"/>
      <c r="M25" s="102"/>
      <c r="N25" s="102"/>
      <c r="O25" s="102"/>
      <c r="P25" s="102"/>
      <c r="Q25" s="102"/>
      <c r="R25" s="102"/>
      <c r="S25" s="102"/>
      <c r="T25" s="102"/>
      <c r="U25" s="102"/>
      <c r="V25" s="102"/>
      <c r="W25" s="102"/>
      <c r="X25" s="102"/>
      <c r="Y25" s="102"/>
      <c r="Z25" s="102"/>
      <c r="AA25" s="102"/>
      <c r="AC25" s="67">
        <f t="shared" ca="1" si="2"/>
        <v>0</v>
      </c>
      <c r="AD25" s="39">
        <f t="shared" ca="1" si="3"/>
        <v>0</v>
      </c>
      <c r="AE25" s="39">
        <f t="shared" ca="1" si="4"/>
        <v>0</v>
      </c>
      <c r="AF25" s="38">
        <f t="shared" ca="1" si="5"/>
        <v>0</v>
      </c>
      <c r="AG25" s="38">
        <f t="shared" ca="1" si="6"/>
        <v>0</v>
      </c>
      <c r="AH25" s="68">
        <f t="shared" ca="1" si="7"/>
        <v>0</v>
      </c>
    </row>
    <row r="26" spans="2:34" ht="15" customHeight="1" x14ac:dyDescent="0.3">
      <c r="B26" s="18" t="s">
        <v>20</v>
      </c>
      <c r="C26" s="18"/>
      <c r="D26" s="18"/>
      <c r="E26" s="19" t="s">
        <v>34</v>
      </c>
      <c r="F26" s="19" t="s">
        <v>189</v>
      </c>
      <c r="G26" s="19" t="s">
        <v>190</v>
      </c>
      <c r="H26" s="19" t="s">
        <v>188</v>
      </c>
      <c r="I26" s="19" t="s">
        <v>30</v>
      </c>
      <c r="K26" s="102"/>
      <c r="L26" s="102"/>
      <c r="M26" s="102"/>
      <c r="N26" s="102"/>
      <c r="O26" s="102"/>
      <c r="P26" s="102"/>
      <c r="Q26" s="102"/>
      <c r="R26" s="102"/>
      <c r="S26" s="102"/>
      <c r="T26" s="102"/>
      <c r="U26" s="102"/>
      <c r="V26" s="102"/>
      <c r="W26" s="102"/>
      <c r="X26" s="102"/>
      <c r="Y26" s="102"/>
      <c r="Z26" s="102"/>
      <c r="AA26" s="102"/>
      <c r="AC26" s="67">
        <f t="shared" ca="1" si="2"/>
        <v>0</v>
      </c>
      <c r="AD26" s="39">
        <f t="shared" ca="1" si="3"/>
        <v>0</v>
      </c>
      <c r="AE26" s="39">
        <f t="shared" ca="1" si="4"/>
        <v>0</v>
      </c>
      <c r="AF26" s="38">
        <f t="shared" ca="1" si="5"/>
        <v>0</v>
      </c>
      <c r="AG26" s="38">
        <f t="shared" ca="1" si="6"/>
        <v>0</v>
      </c>
      <c r="AH26" s="68">
        <f t="shared" ca="1" si="7"/>
        <v>0</v>
      </c>
    </row>
    <row r="27" spans="2:34" x14ac:dyDescent="0.3">
      <c r="B27" s="16" t="s">
        <v>57</v>
      </c>
      <c r="C27" s="17"/>
      <c r="D27" s="17"/>
      <c r="E27" s="77">
        <v>4.0000000000000018</v>
      </c>
      <c r="F27" s="77">
        <v>0</v>
      </c>
      <c r="G27" s="77">
        <v>24</v>
      </c>
      <c r="H27" s="77">
        <v>2</v>
      </c>
      <c r="I27" s="77">
        <v>6</v>
      </c>
      <c r="K27" s="102"/>
      <c r="L27" s="102"/>
      <c r="M27" s="102"/>
      <c r="N27" s="102"/>
      <c r="O27" s="102"/>
      <c r="P27" s="102"/>
      <c r="Q27" s="102"/>
      <c r="R27" s="102"/>
      <c r="S27" s="102"/>
      <c r="T27" s="102"/>
      <c r="U27" s="102"/>
      <c r="V27" s="102"/>
      <c r="W27" s="102"/>
      <c r="X27" s="102"/>
      <c r="Y27" s="102"/>
      <c r="Z27" s="102"/>
      <c r="AA27" s="102"/>
      <c r="AC27" s="67">
        <f t="shared" ca="1" si="2"/>
        <v>0</v>
      </c>
      <c r="AD27" s="39">
        <f t="shared" ca="1" si="3"/>
        <v>0</v>
      </c>
      <c r="AE27" s="39">
        <f t="shared" ca="1" si="4"/>
        <v>0</v>
      </c>
      <c r="AF27" s="38">
        <f t="shared" ca="1" si="5"/>
        <v>0</v>
      </c>
      <c r="AG27" s="38">
        <f t="shared" ca="1" si="6"/>
        <v>0</v>
      </c>
      <c r="AH27" s="68">
        <f t="shared" ca="1" si="7"/>
        <v>0</v>
      </c>
    </row>
    <row r="28" spans="2:34" x14ac:dyDescent="0.3">
      <c r="B28" s="16" t="s">
        <v>65</v>
      </c>
      <c r="C28" s="17"/>
      <c r="D28" s="17"/>
      <c r="E28" s="77">
        <v>4.0000000000000018</v>
      </c>
      <c r="F28" s="77">
        <v>0</v>
      </c>
      <c r="G28" s="77">
        <v>40</v>
      </c>
      <c r="H28" s="77">
        <v>1</v>
      </c>
      <c r="I28" s="77">
        <v>10</v>
      </c>
      <c r="K28" s="102"/>
      <c r="L28" s="102"/>
      <c r="M28" s="102"/>
      <c r="N28" s="102"/>
      <c r="O28" s="102"/>
      <c r="P28" s="102"/>
      <c r="Q28" s="102"/>
      <c r="R28" s="102"/>
      <c r="S28" s="102"/>
      <c r="T28" s="102"/>
      <c r="U28" s="102"/>
      <c r="V28" s="102"/>
      <c r="W28" s="102"/>
      <c r="X28" s="102"/>
      <c r="Y28" s="102"/>
      <c r="Z28" s="102"/>
      <c r="AA28" s="102"/>
      <c r="AC28" s="67">
        <f t="shared" ca="1" si="2"/>
        <v>0</v>
      </c>
      <c r="AD28" s="39">
        <f t="shared" ca="1" si="3"/>
        <v>0</v>
      </c>
      <c r="AE28" s="39">
        <f t="shared" ca="1" si="4"/>
        <v>0</v>
      </c>
      <c r="AF28" s="38">
        <f t="shared" ca="1" si="5"/>
        <v>0</v>
      </c>
      <c r="AG28" s="38">
        <f t="shared" ca="1" si="6"/>
        <v>0</v>
      </c>
      <c r="AH28" s="68">
        <f t="shared" ca="1" si="7"/>
        <v>0</v>
      </c>
    </row>
    <row r="29" spans="2:34" x14ac:dyDescent="0.3">
      <c r="B29" s="16" t="s">
        <v>73</v>
      </c>
      <c r="C29" s="17"/>
      <c r="D29" s="17"/>
      <c r="E29" s="77">
        <v>3.0000000000000009</v>
      </c>
      <c r="F29" s="77">
        <v>0</v>
      </c>
      <c r="G29" s="77">
        <v>19</v>
      </c>
      <c r="H29" s="77">
        <v>1</v>
      </c>
      <c r="I29" s="77">
        <v>6.33</v>
      </c>
      <c r="K29" s="102"/>
      <c r="L29" s="102"/>
      <c r="M29" s="102"/>
      <c r="N29" s="102"/>
      <c r="O29" s="102"/>
      <c r="P29" s="102"/>
      <c r="Q29" s="102"/>
      <c r="R29" s="102"/>
      <c r="S29" s="102"/>
      <c r="T29" s="102"/>
      <c r="U29" s="102"/>
      <c r="V29" s="102"/>
      <c r="W29" s="102"/>
      <c r="X29" s="102"/>
      <c r="Y29" s="102"/>
      <c r="Z29" s="102"/>
      <c r="AA29" s="102"/>
      <c r="AC29" s="67">
        <f t="shared" ca="1" si="2"/>
        <v>0</v>
      </c>
      <c r="AD29" s="39">
        <f t="shared" ca="1" si="3"/>
        <v>0</v>
      </c>
      <c r="AE29" s="39">
        <f t="shared" ca="1" si="4"/>
        <v>0</v>
      </c>
      <c r="AF29" s="38">
        <f t="shared" ca="1" si="5"/>
        <v>0</v>
      </c>
      <c r="AG29" s="38">
        <f t="shared" ca="1" si="6"/>
        <v>0</v>
      </c>
      <c r="AH29" s="68">
        <f t="shared" ca="1" si="7"/>
        <v>0</v>
      </c>
    </row>
    <row r="30" spans="2:34" x14ac:dyDescent="0.3">
      <c r="B30" s="16" t="s">
        <v>81</v>
      </c>
      <c r="C30" s="17"/>
      <c r="D30" s="17"/>
      <c r="E30" s="77">
        <v>2.0000000000000004</v>
      </c>
      <c r="F30" s="77">
        <v>0</v>
      </c>
      <c r="G30" s="77">
        <v>15</v>
      </c>
      <c r="H30" s="77">
        <v>1</v>
      </c>
      <c r="I30" s="77">
        <v>7.5</v>
      </c>
      <c r="K30" s="102"/>
      <c r="L30" s="102"/>
      <c r="M30" s="102"/>
      <c r="N30" s="102"/>
      <c r="O30" s="102"/>
      <c r="P30" s="102"/>
      <c r="Q30" s="102"/>
      <c r="R30" s="102"/>
      <c r="S30" s="102"/>
      <c r="T30" s="102"/>
      <c r="U30" s="102"/>
      <c r="V30" s="102"/>
      <c r="W30" s="102"/>
      <c r="X30" s="102"/>
      <c r="Y30" s="102"/>
      <c r="Z30" s="102"/>
      <c r="AA30" s="102"/>
      <c r="AC30" s="67">
        <f t="shared" ca="1" si="2"/>
        <v>0</v>
      </c>
      <c r="AD30" s="39">
        <f t="shared" ca="1" si="3"/>
        <v>0</v>
      </c>
      <c r="AE30" s="39">
        <f t="shared" ca="1" si="4"/>
        <v>0</v>
      </c>
      <c r="AF30" s="38">
        <f t="shared" ca="1" si="5"/>
        <v>0</v>
      </c>
      <c r="AG30" s="38">
        <f t="shared" ca="1" si="6"/>
        <v>0</v>
      </c>
      <c r="AH30" s="68">
        <f t="shared" ca="1" si="7"/>
        <v>0</v>
      </c>
    </row>
    <row r="31" spans="2:34" x14ac:dyDescent="0.3">
      <c r="B31" s="16" t="s">
        <v>89</v>
      </c>
      <c r="C31" s="17"/>
      <c r="D31" s="17"/>
      <c r="E31" s="77">
        <v>4.0000000000000018</v>
      </c>
      <c r="F31" s="77">
        <v>0</v>
      </c>
      <c r="G31" s="77">
        <v>34</v>
      </c>
      <c r="H31" s="77">
        <v>2</v>
      </c>
      <c r="I31" s="77">
        <v>8.5</v>
      </c>
      <c r="K31" s="102"/>
      <c r="L31" s="102"/>
      <c r="M31" s="102"/>
      <c r="N31" s="102"/>
      <c r="O31" s="102"/>
      <c r="P31" s="102"/>
      <c r="Q31" s="102"/>
      <c r="R31" s="102"/>
      <c r="S31" s="102"/>
      <c r="T31" s="102"/>
      <c r="U31" s="102"/>
      <c r="V31" s="102"/>
      <c r="W31" s="102"/>
      <c r="X31" s="102"/>
      <c r="Y31" s="102"/>
      <c r="Z31" s="102"/>
      <c r="AA31" s="102"/>
      <c r="AC31" s="67">
        <f t="shared" ca="1" si="2"/>
        <v>0</v>
      </c>
      <c r="AD31" s="39">
        <f t="shared" ca="1" si="3"/>
        <v>0</v>
      </c>
      <c r="AE31" s="39">
        <f t="shared" ca="1" si="4"/>
        <v>0</v>
      </c>
      <c r="AF31" s="38">
        <f t="shared" ca="1" si="5"/>
        <v>0</v>
      </c>
      <c r="AG31" s="38">
        <f t="shared" ca="1" si="6"/>
        <v>0</v>
      </c>
      <c r="AH31" s="68">
        <f t="shared" ca="1" si="7"/>
        <v>0</v>
      </c>
    </row>
    <row r="32" spans="2:34" x14ac:dyDescent="0.3">
      <c r="B32" s="16" t="s">
        <v>97</v>
      </c>
      <c r="C32" s="17"/>
      <c r="D32" s="17"/>
      <c r="E32" s="77">
        <v>3.0000000000000009</v>
      </c>
      <c r="F32" s="77">
        <v>0</v>
      </c>
      <c r="G32" s="77">
        <v>11</v>
      </c>
      <c r="H32" s="77">
        <v>2</v>
      </c>
      <c r="I32" s="77">
        <v>3.67</v>
      </c>
      <c r="K32" s="102"/>
      <c r="L32" s="102"/>
      <c r="M32" s="102"/>
      <c r="N32" s="102"/>
      <c r="O32" s="102"/>
      <c r="P32" s="102"/>
      <c r="Q32" s="102"/>
      <c r="R32" s="102"/>
      <c r="S32" s="102"/>
      <c r="T32" s="102"/>
      <c r="U32" s="102"/>
      <c r="V32" s="102"/>
      <c r="W32" s="102"/>
      <c r="X32" s="102"/>
      <c r="Y32" s="102"/>
      <c r="Z32" s="102"/>
      <c r="AA32" s="102"/>
      <c r="AC32" s="69">
        <f t="shared" ca="1" si="2"/>
        <v>0</v>
      </c>
      <c r="AD32" s="70">
        <f t="shared" ca="1" si="3"/>
        <v>0</v>
      </c>
      <c r="AE32" s="70">
        <f t="shared" ca="1" si="4"/>
        <v>0</v>
      </c>
      <c r="AF32" s="71">
        <f t="shared" ca="1" si="5"/>
        <v>0</v>
      </c>
      <c r="AG32" s="71">
        <f t="shared" ca="1" si="6"/>
        <v>0</v>
      </c>
      <c r="AH32" s="72">
        <f t="shared" ca="1" si="7"/>
        <v>0</v>
      </c>
    </row>
    <row r="33" spans="2:34" x14ac:dyDescent="0.3">
      <c r="B33" s="16"/>
      <c r="C33" s="17"/>
      <c r="D33" s="17"/>
      <c r="E33" s="77"/>
      <c r="F33" s="77"/>
      <c r="G33" s="77"/>
      <c r="H33" s="77"/>
      <c r="I33" s="77"/>
      <c r="X33" s="21"/>
    </row>
    <row r="34" spans="2:34" x14ac:dyDescent="0.3">
      <c r="B34" s="106" t="s">
        <v>182</v>
      </c>
      <c r="C34" s="106"/>
      <c r="D34" s="106"/>
      <c r="E34" s="106"/>
      <c r="F34" s="106"/>
      <c r="G34" s="106"/>
      <c r="H34" s="106"/>
      <c r="I34" s="106"/>
      <c r="K34" s="153" t="s">
        <v>9</v>
      </c>
      <c r="L34" s="153"/>
      <c r="M34" s="153"/>
      <c r="N34" s="153"/>
      <c r="O34" s="153"/>
      <c r="P34" s="153"/>
      <c r="Q34" s="153"/>
      <c r="R34" s="153"/>
      <c r="S34" s="153"/>
      <c r="T34" s="153"/>
      <c r="U34" s="153"/>
      <c r="V34" s="153"/>
      <c r="W34" s="153"/>
      <c r="X34" s="153"/>
      <c r="Y34" s="153"/>
      <c r="Z34" s="153"/>
      <c r="AA34" s="153"/>
      <c r="AB34" s="153"/>
      <c r="AC34" s="153"/>
      <c r="AD34" s="153"/>
      <c r="AE34" s="153"/>
      <c r="AF34" s="153"/>
      <c r="AG34" s="153"/>
      <c r="AH34" s="153"/>
    </row>
    <row r="35" spans="2:34" ht="15" customHeight="1" x14ac:dyDescent="0.3">
      <c r="B35" s="93" t="s">
        <v>216</v>
      </c>
      <c r="C35" s="93"/>
      <c r="D35" s="93"/>
      <c r="E35" s="93"/>
      <c r="F35" s="93"/>
      <c r="G35" s="93"/>
      <c r="H35" s="93"/>
      <c r="I35" s="93"/>
      <c r="K35" s="95">
        <v>1</v>
      </c>
      <c r="L35" s="154">
        <v>1</v>
      </c>
      <c r="M35" s="94" t="s">
        <v>175</v>
      </c>
      <c r="N35" s="94"/>
      <c r="O35" s="94"/>
      <c r="P35" s="94"/>
      <c r="Q35" s="94"/>
      <c r="R35" s="94"/>
      <c r="S35" s="94"/>
      <c r="T35" s="94"/>
      <c r="U35" s="94"/>
      <c r="V35" s="94"/>
      <c r="W35" s="94"/>
      <c r="X35" s="94"/>
      <c r="Y35" s="94"/>
      <c r="Z35" s="94"/>
      <c r="AA35" s="94"/>
      <c r="AB35" s="94"/>
      <c r="AC35" s="94"/>
      <c r="AD35" s="94"/>
      <c r="AE35" s="94"/>
      <c r="AF35" s="94"/>
      <c r="AG35" s="94"/>
      <c r="AH35" s="94"/>
    </row>
    <row r="36" spans="2:34" ht="16.8" x14ac:dyDescent="0.4">
      <c r="B36" s="79"/>
      <c r="C36" s="80"/>
      <c r="D36" s="80"/>
      <c r="E36" s="80"/>
      <c r="F36" s="80"/>
      <c r="G36" s="80"/>
      <c r="H36" s="80"/>
      <c r="I36" s="80"/>
      <c r="K36" s="95"/>
      <c r="L36" s="154"/>
      <c r="M36" s="94"/>
      <c r="N36" s="94"/>
      <c r="O36" s="94"/>
      <c r="P36" s="94"/>
      <c r="Q36" s="94"/>
      <c r="R36" s="94"/>
      <c r="S36" s="94"/>
      <c r="T36" s="94"/>
      <c r="U36" s="94"/>
      <c r="V36" s="94"/>
      <c r="W36" s="94"/>
      <c r="X36" s="94"/>
      <c r="Y36" s="94"/>
      <c r="Z36" s="94"/>
      <c r="AA36" s="94"/>
      <c r="AB36" s="94"/>
      <c r="AC36" s="94"/>
      <c r="AD36" s="94"/>
      <c r="AE36" s="94"/>
      <c r="AF36" s="94"/>
      <c r="AG36" s="94"/>
      <c r="AH36" s="94"/>
    </row>
    <row r="37" spans="2:34" ht="15" customHeight="1" x14ac:dyDescent="0.3">
      <c r="B37" s="92" t="s">
        <v>183</v>
      </c>
      <c r="C37" s="92"/>
      <c r="D37" s="92"/>
      <c r="E37" s="92"/>
      <c r="F37" s="92"/>
      <c r="G37" s="92"/>
      <c r="H37" s="92"/>
      <c r="I37" s="92"/>
      <c r="K37" s="95">
        <v>2</v>
      </c>
      <c r="L37" s="154">
        <v>4</v>
      </c>
      <c r="M37" s="94" t="s">
        <v>176</v>
      </c>
      <c r="N37" s="94"/>
      <c r="O37" s="94"/>
      <c r="P37" s="94"/>
      <c r="Q37" s="94"/>
      <c r="R37" s="94"/>
      <c r="S37" s="94"/>
      <c r="T37" s="94"/>
      <c r="U37" s="94"/>
      <c r="V37" s="94"/>
      <c r="W37" s="94"/>
      <c r="X37" s="94"/>
      <c r="Y37" s="94"/>
      <c r="Z37" s="94"/>
      <c r="AA37" s="94"/>
      <c r="AB37" s="94"/>
      <c r="AC37" s="94"/>
      <c r="AD37" s="94"/>
      <c r="AE37" s="94"/>
      <c r="AF37" s="94"/>
      <c r="AG37" s="94"/>
      <c r="AH37" s="94"/>
    </row>
    <row r="38" spans="2:34" x14ac:dyDescent="0.3">
      <c r="B38" s="90" t="s">
        <v>184</v>
      </c>
      <c r="C38" s="90"/>
      <c r="D38" s="90"/>
      <c r="E38" s="90"/>
      <c r="F38" s="90"/>
      <c r="G38" s="90"/>
      <c r="H38" s="90"/>
      <c r="I38" s="90"/>
      <c r="K38" s="95"/>
      <c r="L38" s="154"/>
      <c r="M38" s="94"/>
      <c r="N38" s="94"/>
      <c r="O38" s="94"/>
      <c r="P38" s="94"/>
      <c r="Q38" s="94"/>
      <c r="R38" s="94"/>
      <c r="S38" s="94"/>
      <c r="T38" s="94"/>
      <c r="U38" s="94"/>
      <c r="V38" s="94"/>
      <c r="W38" s="94"/>
      <c r="X38" s="94"/>
      <c r="Y38" s="94"/>
      <c r="Z38" s="94"/>
      <c r="AA38" s="94"/>
      <c r="AB38" s="94"/>
      <c r="AC38" s="94"/>
      <c r="AD38" s="94"/>
      <c r="AE38" s="94"/>
      <c r="AF38" s="94"/>
      <c r="AG38" s="94"/>
      <c r="AH38" s="94"/>
    </row>
    <row r="39" spans="2:34" ht="15" customHeight="1" x14ac:dyDescent="0.3">
      <c r="B39" s="80"/>
      <c r="C39" s="80"/>
      <c r="D39" s="80"/>
      <c r="E39" s="80"/>
      <c r="F39" s="80"/>
      <c r="G39" s="80"/>
      <c r="H39" s="80"/>
      <c r="I39" s="80"/>
      <c r="K39" s="95">
        <v>3</v>
      </c>
      <c r="L39" s="154">
        <v>1</v>
      </c>
      <c r="M39" s="94" t="s">
        <v>177</v>
      </c>
      <c r="N39" s="94"/>
      <c r="O39" s="94"/>
      <c r="P39" s="94"/>
      <c r="Q39" s="94"/>
      <c r="R39" s="94"/>
      <c r="S39" s="94"/>
      <c r="T39" s="94"/>
      <c r="U39" s="94"/>
      <c r="V39" s="94"/>
      <c r="W39" s="94"/>
      <c r="X39" s="94"/>
      <c r="Y39" s="94"/>
      <c r="Z39" s="94"/>
      <c r="AA39" s="94"/>
      <c r="AB39" s="94"/>
      <c r="AC39" s="94"/>
      <c r="AD39" s="94"/>
      <c r="AE39" s="94"/>
      <c r="AF39" s="94"/>
      <c r="AG39" s="94"/>
      <c r="AH39" s="94"/>
    </row>
    <row r="40" spans="2:34" x14ac:dyDescent="0.3">
      <c r="B40" s="92" t="s">
        <v>185</v>
      </c>
      <c r="C40" s="92"/>
      <c r="D40" s="92"/>
      <c r="E40" s="92"/>
      <c r="F40" s="92"/>
      <c r="G40" s="92"/>
      <c r="H40" s="92"/>
      <c r="I40" s="92"/>
      <c r="K40" s="95"/>
      <c r="L40" s="154"/>
      <c r="M40" s="94"/>
      <c r="N40" s="94"/>
      <c r="O40" s="94"/>
      <c r="P40" s="94"/>
      <c r="Q40" s="94"/>
      <c r="R40" s="94"/>
      <c r="S40" s="94"/>
      <c r="T40" s="94"/>
      <c r="U40" s="94"/>
      <c r="V40" s="94"/>
      <c r="W40" s="94"/>
      <c r="X40" s="94"/>
      <c r="Y40" s="94"/>
      <c r="Z40" s="94"/>
      <c r="AA40" s="94"/>
      <c r="AB40" s="94"/>
      <c r="AC40" s="94"/>
      <c r="AD40" s="94"/>
      <c r="AE40" s="94"/>
      <c r="AF40" s="94"/>
      <c r="AG40" s="94"/>
      <c r="AH40" s="94"/>
    </row>
    <row r="41" spans="2:34" ht="15" customHeight="1" x14ac:dyDescent="0.3">
      <c r="B41" s="91" t="s">
        <v>217</v>
      </c>
      <c r="C41" s="91"/>
      <c r="D41" s="91"/>
      <c r="E41" s="91"/>
      <c r="F41" s="91"/>
      <c r="G41" s="91"/>
      <c r="H41" s="91"/>
      <c r="I41" s="91"/>
      <c r="K41" s="95">
        <v>4</v>
      </c>
      <c r="L41" s="154" t="s">
        <v>188</v>
      </c>
      <c r="M41" s="94" t="s">
        <v>178</v>
      </c>
      <c r="N41" s="94"/>
      <c r="O41" s="94"/>
      <c r="P41" s="94"/>
      <c r="Q41" s="94"/>
      <c r="R41" s="94"/>
      <c r="S41" s="94"/>
      <c r="T41" s="94"/>
      <c r="U41" s="94"/>
      <c r="V41" s="94"/>
      <c r="W41" s="94"/>
      <c r="X41" s="94"/>
      <c r="Y41" s="94"/>
      <c r="Z41" s="94"/>
      <c r="AA41" s="94"/>
      <c r="AB41" s="94"/>
      <c r="AC41" s="94"/>
      <c r="AD41" s="94"/>
      <c r="AE41" s="94"/>
      <c r="AF41" s="94"/>
      <c r="AG41" s="94"/>
      <c r="AH41" s="94"/>
    </row>
    <row r="42" spans="2:34" x14ac:dyDescent="0.3">
      <c r="B42" s="91"/>
      <c r="C42" s="91"/>
      <c r="D42" s="91"/>
      <c r="E42" s="91"/>
      <c r="F42" s="91"/>
      <c r="G42" s="91"/>
      <c r="H42" s="91"/>
      <c r="I42" s="91"/>
      <c r="K42" s="95"/>
      <c r="L42" s="154"/>
      <c r="M42" s="94"/>
      <c r="N42" s="94"/>
      <c r="O42" s="94"/>
      <c r="P42" s="94"/>
      <c r="Q42" s="94"/>
      <c r="R42" s="94"/>
      <c r="S42" s="94"/>
      <c r="T42" s="94"/>
      <c r="U42" s="94"/>
      <c r="V42" s="94"/>
      <c r="W42" s="94"/>
      <c r="X42" s="94"/>
      <c r="Y42" s="94"/>
      <c r="Z42" s="94"/>
      <c r="AA42" s="94"/>
      <c r="AB42" s="94"/>
      <c r="AC42" s="94"/>
      <c r="AD42" s="94"/>
      <c r="AE42" s="94"/>
      <c r="AF42" s="94"/>
      <c r="AG42" s="94"/>
      <c r="AH42" s="94"/>
    </row>
    <row r="43" spans="2:34" ht="15" customHeight="1" x14ac:dyDescent="0.3">
      <c r="B43" s="90"/>
      <c r="C43" s="90"/>
      <c r="D43" s="90"/>
      <c r="E43" s="90"/>
      <c r="F43" s="90"/>
      <c r="G43" s="90"/>
      <c r="H43" s="90"/>
      <c r="I43" s="90"/>
      <c r="K43" s="95">
        <v>5</v>
      </c>
      <c r="L43" s="154">
        <v>1</v>
      </c>
      <c r="M43" s="94" t="s">
        <v>179</v>
      </c>
      <c r="N43" s="94"/>
      <c r="O43" s="94"/>
      <c r="P43" s="94"/>
      <c r="Q43" s="94"/>
      <c r="R43" s="94"/>
      <c r="S43" s="94"/>
      <c r="T43" s="94"/>
      <c r="U43" s="94"/>
      <c r="V43" s="94"/>
      <c r="W43" s="94"/>
      <c r="X43" s="94"/>
      <c r="Y43" s="94"/>
      <c r="Z43" s="94"/>
      <c r="AA43" s="94"/>
      <c r="AB43" s="94"/>
      <c r="AC43" s="94"/>
      <c r="AD43" s="94"/>
      <c r="AE43" s="94"/>
      <c r="AF43" s="94"/>
      <c r="AG43" s="94"/>
      <c r="AH43" s="94"/>
    </row>
    <row r="44" spans="2:34" x14ac:dyDescent="0.3">
      <c r="B44" s="92" t="s">
        <v>186</v>
      </c>
      <c r="C44" s="92"/>
      <c r="D44" s="92"/>
      <c r="E44" s="92"/>
      <c r="F44" s="92"/>
      <c r="G44" s="92"/>
      <c r="H44" s="92"/>
      <c r="I44" s="92"/>
      <c r="K44" s="95"/>
      <c r="L44" s="154"/>
      <c r="M44" s="94"/>
      <c r="N44" s="94"/>
      <c r="O44" s="94"/>
      <c r="P44" s="94"/>
      <c r="Q44" s="94"/>
      <c r="R44" s="94"/>
      <c r="S44" s="94"/>
      <c r="T44" s="94"/>
      <c r="U44" s="94"/>
      <c r="V44" s="94"/>
      <c r="W44" s="94"/>
      <c r="X44" s="94"/>
      <c r="Y44" s="94"/>
      <c r="Z44" s="94"/>
      <c r="AA44" s="94"/>
      <c r="AB44" s="94"/>
      <c r="AC44" s="94"/>
      <c r="AD44" s="94"/>
      <c r="AE44" s="94"/>
      <c r="AF44" s="94"/>
      <c r="AG44" s="94"/>
      <c r="AH44" s="94"/>
    </row>
    <row r="45" spans="2:34" ht="15" customHeight="1" x14ac:dyDescent="0.3">
      <c r="B45" s="91" t="s">
        <v>187</v>
      </c>
      <c r="C45" s="91"/>
      <c r="D45" s="91"/>
      <c r="E45" s="91"/>
      <c r="F45" s="91"/>
      <c r="G45" s="91"/>
      <c r="H45" s="91"/>
      <c r="I45" s="91"/>
      <c r="K45" s="95">
        <v>6</v>
      </c>
      <c r="L45" s="154">
        <v>0</v>
      </c>
      <c r="M45" s="94" t="s">
        <v>180</v>
      </c>
      <c r="N45" s="94"/>
      <c r="O45" s="94"/>
      <c r="P45" s="94"/>
      <c r="Q45" s="94"/>
      <c r="R45" s="94"/>
      <c r="S45" s="94"/>
      <c r="T45" s="94"/>
      <c r="U45" s="94"/>
      <c r="V45" s="94"/>
      <c r="W45" s="94"/>
      <c r="X45" s="94"/>
      <c r="Y45" s="94"/>
      <c r="Z45" s="94"/>
      <c r="AA45" s="94"/>
      <c r="AB45" s="94"/>
      <c r="AC45" s="94"/>
      <c r="AD45" s="94"/>
      <c r="AE45" s="94"/>
      <c r="AF45" s="94"/>
      <c r="AG45" s="94"/>
      <c r="AH45" s="94"/>
    </row>
    <row r="46" spans="2:34" x14ac:dyDescent="0.3">
      <c r="B46" s="91"/>
      <c r="C46" s="91"/>
      <c r="D46" s="91"/>
      <c r="E46" s="91"/>
      <c r="F46" s="91"/>
      <c r="G46" s="91"/>
      <c r="H46" s="91"/>
      <c r="I46" s="91"/>
      <c r="K46" s="95"/>
      <c r="L46" s="154"/>
      <c r="M46" s="94"/>
      <c r="N46" s="94"/>
      <c r="O46" s="94"/>
      <c r="P46" s="94"/>
      <c r="Q46" s="94"/>
      <c r="R46" s="94"/>
      <c r="S46" s="94"/>
      <c r="T46" s="94"/>
      <c r="U46" s="94"/>
      <c r="V46" s="94"/>
      <c r="W46" s="94"/>
      <c r="X46" s="94"/>
      <c r="Y46" s="94"/>
      <c r="Z46" s="94"/>
      <c r="AA46" s="94"/>
      <c r="AB46" s="94"/>
      <c r="AC46" s="94"/>
      <c r="AD46" s="94"/>
      <c r="AE46" s="94"/>
      <c r="AF46" s="94"/>
      <c r="AG46" s="94"/>
      <c r="AH46" s="94"/>
    </row>
    <row r="47" spans="2:34" x14ac:dyDescent="0.3"/>
    <row r="48" spans="2:34" hidden="1" x14ac:dyDescent="0.3"/>
    <row r="49" hidden="1" x14ac:dyDescent="0.3"/>
    <row r="50" hidden="1" x14ac:dyDescent="0.3"/>
    <row r="51" hidden="1" x14ac:dyDescent="0.3"/>
    <row r="52" hidden="1" x14ac:dyDescent="0.3"/>
    <row r="53" hidden="1" x14ac:dyDescent="0.3"/>
    <row r="54" hidden="1" x14ac:dyDescent="0.3"/>
  </sheetData>
  <sheetProtection algorithmName="SHA-512" hashValue="dRS9hvnsHl7goN+HMG+JvyEGg18CwCNhsVWyDlSmRIJavcV4Z1Bi/eA7NH2ShqDyLpuji5pZB/YzLFzTBl/PxA==" saltValue="0QLUbHTFvhsVXDACWlC8Eg==" spinCount="100000" sheet="1" objects="1" scenarios="1" selectLockedCells="1"/>
  <mergeCells count="67">
    <mergeCell ref="M45:AH46"/>
    <mergeCell ref="K34:AH34"/>
    <mergeCell ref="K37:K38"/>
    <mergeCell ref="L37:L38"/>
    <mergeCell ref="K39:K40"/>
    <mergeCell ref="L39:L40"/>
    <mergeCell ref="M35:AH36"/>
    <mergeCell ref="M37:AH38"/>
    <mergeCell ref="M39:AH40"/>
    <mergeCell ref="K45:K46"/>
    <mergeCell ref="L45:L46"/>
    <mergeCell ref="K41:K42"/>
    <mergeCell ref="L35:L36"/>
    <mergeCell ref="L41:L42"/>
    <mergeCell ref="K43:K44"/>
    <mergeCell ref="L43:L44"/>
    <mergeCell ref="AG2:AH2"/>
    <mergeCell ref="AG4:AH4"/>
    <mergeCell ref="AG5:AH5"/>
    <mergeCell ref="AG3:AH3"/>
    <mergeCell ref="AF6:AH6"/>
    <mergeCell ref="AC2:AE2"/>
    <mergeCell ref="B2:E2"/>
    <mergeCell ref="T2:AA2"/>
    <mergeCell ref="T3:W3"/>
    <mergeCell ref="X3:AA3"/>
    <mergeCell ref="K2:R2"/>
    <mergeCell ref="K3:N3"/>
    <mergeCell ref="O3:R3"/>
    <mergeCell ref="AC3:AE3"/>
    <mergeCell ref="AC4:AE4"/>
    <mergeCell ref="AC5:AE5"/>
    <mergeCell ref="T4:W7"/>
    <mergeCell ref="X4:AA7"/>
    <mergeCell ref="AC6:AE6"/>
    <mergeCell ref="T12:U12"/>
    <mergeCell ref="K11:L11"/>
    <mergeCell ref="K12:L12"/>
    <mergeCell ref="T8:AA8"/>
    <mergeCell ref="B3:E4"/>
    <mergeCell ref="K4:N7"/>
    <mergeCell ref="O4:R7"/>
    <mergeCell ref="B5:E5"/>
    <mergeCell ref="M41:AH42"/>
    <mergeCell ref="M43:AH44"/>
    <mergeCell ref="K35:K36"/>
    <mergeCell ref="F5:I5"/>
    <mergeCell ref="K16:L16"/>
    <mergeCell ref="K9:L9"/>
    <mergeCell ref="K8:R8"/>
    <mergeCell ref="K19:AA32"/>
    <mergeCell ref="T17:AA17"/>
    <mergeCell ref="K17:R17"/>
    <mergeCell ref="B34:I34"/>
    <mergeCell ref="T9:U9"/>
    <mergeCell ref="T10:U10"/>
    <mergeCell ref="T11:U11"/>
    <mergeCell ref="K10:L10"/>
    <mergeCell ref="T16:U16"/>
    <mergeCell ref="B43:I43"/>
    <mergeCell ref="B41:I42"/>
    <mergeCell ref="B44:I44"/>
    <mergeCell ref="B45:I46"/>
    <mergeCell ref="B35:I35"/>
    <mergeCell ref="B37:I37"/>
    <mergeCell ref="B38:I38"/>
    <mergeCell ref="B40:I40"/>
  </mergeCells>
  <conditionalFormatting sqref="R9:R16">
    <cfRule type="dataBar" priority="35">
      <dataBar showValue="0">
        <cfvo type="min"/>
        <cfvo type="max"/>
        <color theme="0" tint="-0.34998626667073579"/>
      </dataBar>
      <extLst>
        <ext xmlns:x14="http://schemas.microsoft.com/office/spreadsheetml/2009/9/main" uri="{B025F937-C7B1-47D3-B67F-A62EFF666E3E}">
          <x14:id>{18621752-73BC-437A-AE75-338A9B58A323}</x14:id>
        </ext>
      </extLst>
    </cfRule>
  </conditionalFormatting>
  <conditionalFormatting sqref="L35:L46">
    <cfRule type="cellIs" dxfId="20" priority="29" operator="equal">
      <formula>6</formula>
    </cfRule>
    <cfRule type="cellIs" dxfId="19" priority="30" operator="equal">
      <formula>4</formula>
    </cfRule>
    <cfRule type="cellIs" dxfId="18" priority="31" operator="equal">
      <formula>"W"</formula>
    </cfRule>
  </conditionalFormatting>
  <conditionalFormatting sqref="K10:L10">
    <cfRule type="cellIs" dxfId="17" priority="27" operator="lessThan">
      <formula>0</formula>
    </cfRule>
    <cfRule type="cellIs" dxfId="16" priority="28" operator="greaterThan">
      <formula>0</formula>
    </cfRule>
  </conditionalFormatting>
  <conditionalFormatting sqref="AC8:AE32">
    <cfRule type="expression" dxfId="15" priority="39">
      <formula>AC8=0</formula>
    </cfRule>
    <cfRule type="expression" dxfId="14" priority="40">
      <formula>$AE8&lt;0</formula>
    </cfRule>
    <cfRule type="expression" dxfId="13" priority="41">
      <formula>$AE8&gt;0</formula>
    </cfRule>
  </conditionalFormatting>
  <conditionalFormatting sqref="AF8:AH32">
    <cfRule type="expression" dxfId="12" priority="12">
      <formula>AF8=0</formula>
    </cfRule>
    <cfRule type="expression" dxfId="11" priority="13">
      <formula>$AH8&lt;0</formula>
    </cfRule>
    <cfRule type="expression" dxfId="10" priority="14">
      <formula>$AH8&gt;0</formula>
    </cfRule>
  </conditionalFormatting>
  <conditionalFormatting sqref="AF5">
    <cfRule type="cellIs" dxfId="9" priority="10" operator="lessThan">
      <formula>0</formula>
    </cfRule>
    <cfRule type="cellIs" dxfId="8" priority="11" operator="greaterThan">
      <formula>0</formula>
    </cfRule>
  </conditionalFormatting>
  <conditionalFormatting sqref="AF4">
    <cfRule type="cellIs" dxfId="7" priority="8" operator="lessThan">
      <formula>0</formula>
    </cfRule>
    <cfRule type="cellIs" dxfId="6" priority="9" operator="greaterThan">
      <formula>0</formula>
    </cfRule>
  </conditionalFormatting>
  <conditionalFormatting sqref="AF3">
    <cfRule type="cellIs" dxfId="5" priority="6" operator="lessThan">
      <formula>0</formula>
    </cfRule>
    <cfRule type="cellIs" dxfId="4" priority="7" operator="greaterThan">
      <formula>0</formula>
    </cfRule>
  </conditionalFormatting>
  <conditionalFormatting sqref="AG3:AH5">
    <cfRule type="cellIs" dxfId="3" priority="4" operator="lessThan">
      <formula>0</formula>
    </cfRule>
    <cfRule type="cellIs" dxfId="2" priority="5" operator="greaterThan">
      <formula>0</formula>
    </cfRule>
  </conditionalFormatting>
  <conditionalFormatting sqref="AA9:AA16">
    <cfRule type="dataBar" priority="3">
      <dataBar showValue="0">
        <cfvo type="min"/>
        <cfvo type="max"/>
        <color theme="0" tint="-0.34998626667073579"/>
      </dataBar>
      <extLst>
        <ext xmlns:x14="http://schemas.microsoft.com/office/spreadsheetml/2009/9/main" uri="{B025F937-C7B1-47D3-B67F-A62EFF666E3E}">
          <x14:id>{5DB5B4FF-CEBA-49A0-91A1-6DA4F00A3E01}</x14:id>
        </ext>
      </extLst>
    </cfRule>
  </conditionalFormatting>
  <conditionalFormatting sqref="T10:U10">
    <cfRule type="cellIs" dxfId="1" priority="1" operator="lessThan">
      <formula>0</formula>
    </cfRule>
    <cfRule type="cellIs" dxfId="0" priority="2" operator="greaterThan">
      <formula>0</formula>
    </cfRule>
  </conditionalFormatting>
  <pageMargins left="0.7" right="0.7" top="0.75" bottom="0.75" header="0.3" footer="0.3"/>
  <pageSetup orientation="portrait" horizontalDpi="200" verticalDpi="200" r:id="rId1"/>
  <extLst>
    <ext xmlns:x14="http://schemas.microsoft.com/office/spreadsheetml/2009/9/main" uri="{78C0D931-6437-407d-A8EE-F0AAD7539E65}">
      <x14:conditionalFormattings>
        <x14:conditionalFormatting xmlns:xm="http://schemas.microsoft.com/office/excel/2006/main">
          <x14:cfRule type="dataBar" id="{18621752-73BC-437A-AE75-338A9B58A323}">
            <x14:dataBar minLength="0" maxLength="100" gradient="0">
              <x14:cfvo type="autoMin"/>
              <x14:cfvo type="autoMax"/>
              <x14:negativeFillColor rgb="FFFF0000"/>
              <x14:axisColor rgb="FF000000"/>
            </x14:dataBar>
          </x14:cfRule>
          <xm:sqref>R9:R16</xm:sqref>
        </x14:conditionalFormatting>
        <x14:conditionalFormatting xmlns:xm="http://schemas.microsoft.com/office/excel/2006/main">
          <x14:cfRule type="dataBar" id="{5DB5B4FF-CEBA-49A0-91A1-6DA4F00A3E01}">
            <x14:dataBar minLength="0" maxLength="100" gradient="0">
              <x14:cfvo type="autoMin"/>
              <x14:cfvo type="autoMax"/>
              <x14:negativeFillColor rgb="FFFF0000"/>
              <x14:axisColor rgb="FF000000"/>
            </x14:dataBar>
          </x14:cfRule>
          <xm:sqref>AA9:AA16</xm:sqref>
        </x14:conditionalFormatting>
      </x14:conditionalFormattings>
    </ext>
    <ext xmlns:x14="http://schemas.microsoft.com/office/spreadsheetml/2009/9/main" uri="{05C60535-1F16-4fd2-B633-F4F36F0B64E0}">
      <x14:sparklineGroups xmlns:xm="http://schemas.microsoft.com/office/excel/2006/main">
        <x14:sparklineGroup displayEmptyCellsAs="gap" xr2:uid="{00000000-0003-0000-0100-000000000000}">
          <x14:colorSeries rgb="FF376092"/>
          <x14:colorNegative rgb="FFD00000"/>
          <x14:colorAxis rgb="FF000000"/>
          <x14:colorMarkers rgb="FFD00000"/>
          <x14:colorFirst rgb="FFD00000"/>
          <x14:colorLast rgb="FFD00000"/>
          <x14:colorHigh rgb="FFD00000"/>
          <x14:colorLow rgb="FFD00000"/>
          <x14:sparklines>
            <x14:sparkline>
              <xm:f>Data!BN2:BN121</xm:f>
              <xm:sqref>K19</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L132"/>
  <sheetViews>
    <sheetView topLeftCell="A33" zoomScale="80" zoomScaleNormal="80" workbookViewId="0">
      <selection activeCell="F134" sqref="F134"/>
    </sheetView>
  </sheetViews>
  <sheetFormatPr defaultRowHeight="14.4" x14ac:dyDescent="0.3"/>
  <cols>
    <col min="1" max="1" width="16.33203125" style="81" customWidth="1"/>
    <col min="2" max="2" width="9.44140625" customWidth="1"/>
    <col min="3" max="3" width="11.109375" customWidth="1"/>
    <col min="4" max="4" width="7.33203125" customWidth="1"/>
    <col min="5" max="5" width="19.33203125" customWidth="1"/>
    <col min="6" max="6" width="18.5546875" bestFit="1" customWidth="1"/>
    <col min="7" max="7" width="16.44140625" customWidth="1"/>
    <col min="8" max="8" width="13.6640625" customWidth="1"/>
    <col min="9" max="9" width="18.5546875" bestFit="1" customWidth="1"/>
    <col min="13" max="13" width="12.6640625" bestFit="1" customWidth="1"/>
  </cols>
  <sheetData>
    <row r="1" spans="1:12" s="10" customFormat="1" x14ac:dyDescent="0.3">
      <c r="A1" s="81" t="s">
        <v>192</v>
      </c>
      <c r="B1" s="10" t="s">
        <v>34</v>
      </c>
      <c r="C1" s="10" t="s">
        <v>193</v>
      </c>
      <c r="D1" s="10" t="s">
        <v>1</v>
      </c>
      <c r="E1" s="10" t="s">
        <v>194</v>
      </c>
      <c r="F1" s="10" t="s">
        <v>195</v>
      </c>
      <c r="G1" s="10" t="s">
        <v>196</v>
      </c>
      <c r="H1" s="10" t="s">
        <v>197</v>
      </c>
      <c r="I1" s="10" t="s">
        <v>198</v>
      </c>
      <c r="J1" s="10" t="s">
        <v>199</v>
      </c>
      <c r="K1" s="10" t="s">
        <v>200</v>
      </c>
      <c r="L1" s="10" t="s">
        <v>201</v>
      </c>
    </row>
    <row r="2" spans="1:12" s="10" customFormat="1" x14ac:dyDescent="0.3">
      <c r="A2" s="81">
        <v>43334.979479166665</v>
      </c>
      <c r="B2" s="10">
        <v>0</v>
      </c>
      <c r="C2" s="10" t="s">
        <v>218</v>
      </c>
      <c r="D2" s="10">
        <v>0</v>
      </c>
      <c r="E2" s="10">
        <v>170</v>
      </c>
      <c r="F2" s="10">
        <v>0</v>
      </c>
      <c r="G2" s="10">
        <v>0</v>
      </c>
      <c r="H2" s="10">
        <v>10</v>
      </c>
      <c r="I2" s="10">
        <v>0</v>
      </c>
      <c r="J2" s="10">
        <v>0</v>
      </c>
      <c r="K2" s="10">
        <v>0</v>
      </c>
      <c r="L2" s="10">
        <v>0</v>
      </c>
    </row>
    <row r="3" spans="1:12" s="10" customFormat="1" x14ac:dyDescent="0.3">
      <c r="A3" s="81">
        <v>43334.979988425926</v>
      </c>
      <c r="B3" s="10">
        <v>0.1</v>
      </c>
      <c r="C3" s="10" t="s">
        <v>218</v>
      </c>
      <c r="D3" s="10">
        <v>0</v>
      </c>
      <c r="E3" s="10">
        <v>169</v>
      </c>
      <c r="F3" s="10">
        <v>0</v>
      </c>
      <c r="G3" s="10">
        <v>0</v>
      </c>
      <c r="H3" s="10">
        <v>7</v>
      </c>
      <c r="I3" s="10">
        <v>0</v>
      </c>
      <c r="J3" s="10">
        <v>0</v>
      </c>
      <c r="K3" s="10">
        <v>0</v>
      </c>
      <c r="L3" s="10">
        <v>0</v>
      </c>
    </row>
    <row r="4" spans="1:12" s="10" customFormat="1" x14ac:dyDescent="0.3">
      <c r="A4" s="81">
        <v>43334.980162037034</v>
      </c>
      <c r="B4" s="10">
        <v>0.2</v>
      </c>
      <c r="C4" s="10" t="s">
        <v>219</v>
      </c>
      <c r="D4" s="10">
        <v>1</v>
      </c>
      <c r="E4" s="10">
        <v>168</v>
      </c>
      <c r="F4" s="10">
        <v>0</v>
      </c>
      <c r="G4" s="10">
        <v>1</v>
      </c>
      <c r="H4" s="10">
        <v>7</v>
      </c>
      <c r="I4" s="10">
        <v>11</v>
      </c>
    </row>
    <row r="5" spans="1:12" s="10" customFormat="1" x14ac:dyDescent="0.3">
      <c r="A5" s="81">
        <v>43334.98064814815</v>
      </c>
      <c r="B5" s="10">
        <v>0.2</v>
      </c>
      <c r="C5" s="10" t="s">
        <v>218</v>
      </c>
      <c r="D5" s="10">
        <v>1</v>
      </c>
      <c r="E5" s="10">
        <v>168</v>
      </c>
      <c r="F5" s="10">
        <v>0</v>
      </c>
      <c r="G5" s="10">
        <v>1</v>
      </c>
      <c r="H5" s="10">
        <v>7</v>
      </c>
      <c r="I5" s="10">
        <v>11</v>
      </c>
      <c r="J5" s="10">
        <v>0</v>
      </c>
      <c r="K5" s="10">
        <v>0</v>
      </c>
      <c r="L5" s="10">
        <v>0</v>
      </c>
    </row>
    <row r="6" spans="1:12" s="10" customFormat="1" x14ac:dyDescent="0.3">
      <c r="A6" s="81">
        <v>43334.980787037035</v>
      </c>
      <c r="B6" s="10">
        <v>0.3</v>
      </c>
      <c r="C6" s="10" t="s">
        <v>218</v>
      </c>
      <c r="D6" s="10">
        <v>1</v>
      </c>
      <c r="E6" s="10">
        <v>165</v>
      </c>
      <c r="F6" s="10">
        <v>0</v>
      </c>
      <c r="G6" s="10">
        <v>1</v>
      </c>
      <c r="H6" s="10">
        <v>5</v>
      </c>
      <c r="I6" s="10">
        <v>11</v>
      </c>
      <c r="J6" s="10">
        <v>0</v>
      </c>
      <c r="K6" s="10">
        <v>-22</v>
      </c>
      <c r="L6" s="10">
        <v>-22</v>
      </c>
    </row>
    <row r="7" spans="1:12" s="10" customFormat="1" x14ac:dyDescent="0.3">
      <c r="A7" s="81">
        <v>43334.980798611112</v>
      </c>
      <c r="B7" s="10">
        <v>0.4</v>
      </c>
      <c r="C7" s="10" t="s">
        <v>218</v>
      </c>
      <c r="D7" s="10">
        <v>1</v>
      </c>
      <c r="E7" s="10">
        <v>163</v>
      </c>
      <c r="F7" s="10">
        <v>0</v>
      </c>
      <c r="G7" s="10">
        <v>1</v>
      </c>
      <c r="H7" s="10">
        <v>4</v>
      </c>
      <c r="I7" s="10">
        <v>11</v>
      </c>
      <c r="J7" s="10">
        <v>0</v>
      </c>
      <c r="K7" s="10">
        <v>-33</v>
      </c>
      <c r="L7" s="10">
        <v>-33</v>
      </c>
    </row>
    <row r="8" spans="1:12" s="10" customFormat="1" x14ac:dyDescent="0.3">
      <c r="A8" s="81">
        <v>43334.980821759258</v>
      </c>
      <c r="B8" s="10">
        <v>0.5</v>
      </c>
      <c r="C8" s="10" t="s">
        <v>218</v>
      </c>
      <c r="D8" s="10">
        <v>5</v>
      </c>
      <c r="E8" s="10">
        <v>168</v>
      </c>
      <c r="F8" s="10">
        <v>0</v>
      </c>
      <c r="G8" s="10">
        <v>5</v>
      </c>
      <c r="H8" s="10">
        <v>6</v>
      </c>
      <c r="I8" s="10">
        <v>11</v>
      </c>
      <c r="J8" s="10">
        <v>0</v>
      </c>
      <c r="K8" s="10">
        <v>-11</v>
      </c>
      <c r="L8" s="10">
        <v>-11</v>
      </c>
    </row>
    <row r="9" spans="1:12" s="10" customFormat="1" x14ac:dyDescent="0.3">
      <c r="A9" s="81">
        <v>43334.980995370373</v>
      </c>
      <c r="B9" s="10">
        <v>1</v>
      </c>
      <c r="C9" s="10" t="s">
        <v>218</v>
      </c>
      <c r="D9" s="10">
        <v>6</v>
      </c>
      <c r="E9" s="10">
        <v>167</v>
      </c>
      <c r="F9" s="10">
        <v>0</v>
      </c>
      <c r="G9" s="10">
        <v>6</v>
      </c>
      <c r="H9" s="10">
        <v>8</v>
      </c>
      <c r="I9" s="10">
        <v>0</v>
      </c>
      <c r="J9" s="10">
        <v>0</v>
      </c>
      <c r="K9" s="10">
        <v>-11</v>
      </c>
      <c r="L9" s="10">
        <v>-11</v>
      </c>
    </row>
    <row r="10" spans="1:12" s="10" customFormat="1" x14ac:dyDescent="0.3">
      <c r="A10" s="81">
        <v>43334.981168981481</v>
      </c>
      <c r="B10" s="10">
        <v>1.1000000000000001</v>
      </c>
      <c r="C10" s="10" t="s">
        <v>219</v>
      </c>
      <c r="D10" s="10">
        <v>10</v>
      </c>
      <c r="E10" s="10">
        <v>173</v>
      </c>
      <c r="F10" s="10">
        <v>0</v>
      </c>
      <c r="G10" s="10">
        <v>4</v>
      </c>
      <c r="H10" s="10">
        <v>15</v>
      </c>
      <c r="I10" s="10">
        <v>-11</v>
      </c>
    </row>
    <row r="11" spans="1:12" s="10" customFormat="1" x14ac:dyDescent="0.3">
      <c r="A11" s="81">
        <v>43334.981203703705</v>
      </c>
      <c r="B11" s="10">
        <v>1.1000000000000001</v>
      </c>
      <c r="C11" s="10" t="s">
        <v>218</v>
      </c>
      <c r="D11" s="10">
        <v>10</v>
      </c>
      <c r="E11" s="10">
        <v>173</v>
      </c>
      <c r="F11" s="10">
        <v>0</v>
      </c>
      <c r="G11" s="10">
        <v>4</v>
      </c>
      <c r="H11" s="10">
        <v>15</v>
      </c>
      <c r="I11" s="10">
        <v>-11</v>
      </c>
      <c r="J11" s="10">
        <v>0</v>
      </c>
      <c r="K11" s="10">
        <v>-22</v>
      </c>
      <c r="L11" s="10">
        <v>-22</v>
      </c>
    </row>
    <row r="12" spans="1:12" s="10" customFormat="1" x14ac:dyDescent="0.3">
      <c r="A12" s="81">
        <v>43334.981296296297</v>
      </c>
      <c r="B12" s="10">
        <v>1.2</v>
      </c>
      <c r="C12" s="10" t="s">
        <v>218</v>
      </c>
      <c r="D12" s="10">
        <v>12</v>
      </c>
      <c r="E12" s="10">
        <v>174</v>
      </c>
      <c r="F12" s="10">
        <v>0</v>
      </c>
      <c r="G12" s="10">
        <v>6</v>
      </c>
      <c r="H12" s="10">
        <v>13</v>
      </c>
      <c r="I12" s="10">
        <v>-11</v>
      </c>
      <c r="J12" s="10">
        <v>0</v>
      </c>
      <c r="K12" s="10">
        <v>0</v>
      </c>
      <c r="L12" s="10">
        <v>0</v>
      </c>
    </row>
    <row r="13" spans="1:12" s="10" customFormat="1" x14ac:dyDescent="0.3">
      <c r="A13" s="81">
        <v>43334.981319444443</v>
      </c>
      <c r="B13" s="10">
        <v>1.3</v>
      </c>
      <c r="C13" s="10" t="s">
        <v>218</v>
      </c>
      <c r="D13" s="10">
        <v>12</v>
      </c>
      <c r="E13" s="10">
        <v>172</v>
      </c>
      <c r="F13" s="10">
        <v>0</v>
      </c>
      <c r="G13" s="10">
        <v>6</v>
      </c>
      <c r="H13" s="10">
        <v>10</v>
      </c>
      <c r="I13" s="10">
        <v>-11</v>
      </c>
      <c r="J13" s="10">
        <v>0</v>
      </c>
      <c r="K13" s="10">
        <v>33</v>
      </c>
      <c r="L13" s="10">
        <v>33</v>
      </c>
    </row>
    <row r="14" spans="1:12" s="10" customFormat="1" x14ac:dyDescent="0.3">
      <c r="A14" s="81">
        <v>43334.981354166666</v>
      </c>
      <c r="B14" s="10">
        <v>1.4</v>
      </c>
      <c r="C14" s="10" t="s">
        <v>219</v>
      </c>
      <c r="D14" s="10">
        <v>12</v>
      </c>
      <c r="E14" s="10">
        <v>169</v>
      </c>
      <c r="F14" s="10">
        <v>0</v>
      </c>
      <c r="G14" s="10">
        <v>6</v>
      </c>
      <c r="H14" s="10">
        <v>9</v>
      </c>
      <c r="I14" s="10">
        <v>0</v>
      </c>
    </row>
    <row r="15" spans="1:12" s="10" customFormat="1" x14ac:dyDescent="0.3">
      <c r="A15" s="81">
        <v>43334.981481481482</v>
      </c>
      <c r="B15" s="10">
        <v>1.4</v>
      </c>
      <c r="C15" s="10" t="s">
        <v>218</v>
      </c>
      <c r="D15" s="10">
        <v>12</v>
      </c>
      <c r="E15" s="10">
        <v>169</v>
      </c>
      <c r="F15" s="10">
        <v>0</v>
      </c>
      <c r="G15" s="10">
        <v>6</v>
      </c>
      <c r="H15" s="10">
        <v>9</v>
      </c>
      <c r="I15" s="10">
        <v>0</v>
      </c>
      <c r="J15" s="10">
        <v>0</v>
      </c>
      <c r="K15" s="10">
        <v>44</v>
      </c>
      <c r="L15" s="10">
        <v>44</v>
      </c>
    </row>
    <row r="16" spans="1:12" s="10" customFormat="1" x14ac:dyDescent="0.3">
      <c r="A16" s="81">
        <v>43334.981493055559</v>
      </c>
      <c r="B16" s="10">
        <v>1.5</v>
      </c>
      <c r="C16" s="10" t="s">
        <v>218</v>
      </c>
      <c r="D16" s="10">
        <v>12</v>
      </c>
      <c r="E16" s="10">
        <v>167</v>
      </c>
      <c r="F16" s="10">
        <v>0</v>
      </c>
      <c r="G16" s="10">
        <v>6</v>
      </c>
      <c r="H16" s="10">
        <v>7</v>
      </c>
      <c r="I16" s="10">
        <v>0</v>
      </c>
      <c r="J16" s="10">
        <v>0</v>
      </c>
      <c r="K16" s="10">
        <v>44</v>
      </c>
      <c r="L16" s="10">
        <v>44</v>
      </c>
    </row>
    <row r="17" spans="1:12" s="10" customFormat="1" x14ac:dyDescent="0.3">
      <c r="A17" s="81">
        <v>43334.981828703705</v>
      </c>
      <c r="B17" s="10">
        <v>2</v>
      </c>
      <c r="C17" s="10" t="s">
        <v>218</v>
      </c>
      <c r="D17" s="10">
        <v>18</v>
      </c>
      <c r="E17" s="10">
        <v>176</v>
      </c>
      <c r="F17" s="10">
        <v>0</v>
      </c>
      <c r="G17" s="10">
        <v>12</v>
      </c>
      <c r="H17" s="10">
        <v>9</v>
      </c>
      <c r="I17" s="10">
        <v>0</v>
      </c>
      <c r="J17" s="10">
        <v>0</v>
      </c>
      <c r="K17" s="10">
        <v>44</v>
      </c>
      <c r="L17" s="10">
        <v>44</v>
      </c>
    </row>
    <row r="18" spans="1:12" s="10" customFormat="1" x14ac:dyDescent="0.3">
      <c r="A18" s="81">
        <v>43334.981828703705</v>
      </c>
      <c r="B18" s="10">
        <v>2.1</v>
      </c>
      <c r="C18" s="10" t="s">
        <v>218</v>
      </c>
      <c r="D18" s="10">
        <v>22</v>
      </c>
      <c r="E18" s="10">
        <v>181</v>
      </c>
      <c r="F18" s="10">
        <v>0</v>
      </c>
      <c r="G18" s="10">
        <v>4</v>
      </c>
      <c r="H18" s="10">
        <v>16</v>
      </c>
      <c r="I18" s="10">
        <v>0</v>
      </c>
      <c r="J18" s="10">
        <v>0</v>
      </c>
      <c r="K18" s="10">
        <v>44</v>
      </c>
      <c r="L18" s="10">
        <v>44</v>
      </c>
    </row>
    <row r="19" spans="1:12" s="10" customFormat="1" x14ac:dyDescent="0.3">
      <c r="A19" s="81">
        <v>43334.981828703705</v>
      </c>
      <c r="B19" s="10">
        <v>2.2000000000000002</v>
      </c>
      <c r="C19" s="10" t="s">
        <v>218</v>
      </c>
      <c r="D19" s="10">
        <v>22</v>
      </c>
      <c r="E19" s="10">
        <v>179</v>
      </c>
      <c r="F19" s="10">
        <v>0</v>
      </c>
      <c r="G19" s="10">
        <v>4</v>
      </c>
      <c r="H19" s="10">
        <v>11</v>
      </c>
      <c r="I19" s="10">
        <v>0</v>
      </c>
      <c r="J19" s="10">
        <v>0</v>
      </c>
      <c r="K19" s="10">
        <v>44</v>
      </c>
      <c r="L19" s="10">
        <v>44</v>
      </c>
    </row>
    <row r="20" spans="1:12" s="10" customFormat="1" x14ac:dyDescent="0.3">
      <c r="A20" s="81">
        <v>43334.981840277775</v>
      </c>
      <c r="B20" s="10">
        <v>2.2999999999999998</v>
      </c>
      <c r="C20" s="10" t="s">
        <v>218</v>
      </c>
      <c r="D20" s="10">
        <v>23</v>
      </c>
      <c r="E20" s="10">
        <v>178</v>
      </c>
      <c r="F20" s="10">
        <v>0</v>
      </c>
      <c r="G20" s="10">
        <v>5</v>
      </c>
      <c r="H20" s="10">
        <v>10</v>
      </c>
      <c r="I20" s="10">
        <v>0</v>
      </c>
      <c r="J20" s="10">
        <v>0</v>
      </c>
      <c r="K20" s="10">
        <v>44</v>
      </c>
      <c r="L20" s="10">
        <v>44</v>
      </c>
    </row>
    <row r="21" spans="1:12" s="10" customFormat="1" x14ac:dyDescent="0.3">
      <c r="A21" s="81">
        <v>43334.981840277775</v>
      </c>
      <c r="B21" s="10">
        <v>2.4</v>
      </c>
      <c r="C21" s="10" t="s">
        <v>218</v>
      </c>
      <c r="D21" s="10">
        <v>23</v>
      </c>
      <c r="E21" s="10">
        <v>176</v>
      </c>
      <c r="F21" s="10">
        <v>0</v>
      </c>
      <c r="G21" s="10">
        <v>5</v>
      </c>
      <c r="H21" s="10">
        <v>8</v>
      </c>
      <c r="I21" s="10">
        <v>0</v>
      </c>
      <c r="J21" s="10">
        <v>0</v>
      </c>
      <c r="K21" s="10">
        <v>44</v>
      </c>
      <c r="L21" s="10">
        <v>44</v>
      </c>
    </row>
    <row r="22" spans="1:12" s="10" customFormat="1" x14ac:dyDescent="0.3">
      <c r="A22" s="81">
        <v>43334.981840277775</v>
      </c>
      <c r="B22" s="10">
        <v>2.5</v>
      </c>
      <c r="C22" s="10" t="s">
        <v>218</v>
      </c>
      <c r="D22" s="10">
        <v>24</v>
      </c>
      <c r="E22" s="10">
        <v>175</v>
      </c>
      <c r="F22" s="10">
        <v>0</v>
      </c>
      <c r="G22" s="10">
        <v>6</v>
      </c>
      <c r="H22" s="10">
        <v>7</v>
      </c>
      <c r="I22" s="10">
        <v>0</v>
      </c>
      <c r="J22" s="10">
        <v>0</v>
      </c>
      <c r="K22" s="10">
        <v>44</v>
      </c>
      <c r="L22" s="10">
        <v>44</v>
      </c>
    </row>
    <row r="23" spans="1:12" s="10" customFormat="1" x14ac:dyDescent="0.3">
      <c r="A23" s="81">
        <v>43334.981851851851</v>
      </c>
      <c r="B23" s="10">
        <v>3</v>
      </c>
      <c r="C23" s="10" t="s">
        <v>218</v>
      </c>
      <c r="D23" s="10">
        <v>24</v>
      </c>
      <c r="E23" s="10">
        <v>173</v>
      </c>
      <c r="F23" s="10">
        <v>0</v>
      </c>
      <c r="G23" s="10">
        <v>6</v>
      </c>
      <c r="H23" s="10">
        <v>9</v>
      </c>
      <c r="I23" s="10">
        <v>0</v>
      </c>
      <c r="J23" s="10">
        <v>0</v>
      </c>
      <c r="K23" s="10">
        <v>44</v>
      </c>
      <c r="L23" s="10">
        <v>44</v>
      </c>
    </row>
    <row r="24" spans="1:12" s="10" customFormat="1" x14ac:dyDescent="0.3">
      <c r="A24" s="81">
        <v>43334.981863425928</v>
      </c>
      <c r="B24" s="10">
        <v>3.1</v>
      </c>
      <c r="C24" s="10" t="s">
        <v>218</v>
      </c>
      <c r="D24" s="10">
        <v>28</v>
      </c>
      <c r="E24" s="10">
        <v>178</v>
      </c>
      <c r="F24" s="10">
        <v>0</v>
      </c>
      <c r="G24" s="10">
        <v>4</v>
      </c>
      <c r="H24" s="10">
        <v>15</v>
      </c>
      <c r="I24" s="10">
        <v>0</v>
      </c>
      <c r="J24" s="10">
        <v>0</v>
      </c>
      <c r="K24" s="10">
        <v>44</v>
      </c>
      <c r="L24" s="10">
        <v>44</v>
      </c>
    </row>
    <row r="25" spans="1:12" s="10" customFormat="1" x14ac:dyDescent="0.3">
      <c r="A25" s="81">
        <v>43334.981863425928</v>
      </c>
      <c r="B25" s="10">
        <v>3.2</v>
      </c>
      <c r="C25" s="10" t="s">
        <v>218</v>
      </c>
      <c r="D25" s="10">
        <v>28</v>
      </c>
      <c r="E25" s="10">
        <v>176</v>
      </c>
      <c r="F25" s="10">
        <v>0</v>
      </c>
      <c r="G25" s="10">
        <v>4</v>
      </c>
      <c r="H25" s="10">
        <v>10</v>
      </c>
      <c r="I25" s="10">
        <v>0</v>
      </c>
      <c r="J25" s="10">
        <v>0</v>
      </c>
      <c r="K25" s="10">
        <v>44</v>
      </c>
      <c r="L25" s="10">
        <v>44</v>
      </c>
    </row>
    <row r="26" spans="1:12" s="10" customFormat="1" x14ac:dyDescent="0.3">
      <c r="A26" s="81">
        <v>43334.981863425928</v>
      </c>
      <c r="B26" s="10">
        <v>3.3</v>
      </c>
      <c r="C26" s="10" t="s">
        <v>218</v>
      </c>
      <c r="D26" s="10">
        <v>32</v>
      </c>
      <c r="E26" s="10">
        <v>181</v>
      </c>
      <c r="F26" s="10">
        <v>0</v>
      </c>
      <c r="G26" s="10">
        <v>8</v>
      </c>
      <c r="H26" s="10">
        <v>13</v>
      </c>
      <c r="I26" s="10">
        <v>0</v>
      </c>
      <c r="J26" s="10">
        <v>0</v>
      </c>
      <c r="K26" s="10">
        <v>44</v>
      </c>
      <c r="L26" s="10">
        <v>44</v>
      </c>
    </row>
    <row r="27" spans="1:12" s="10" customFormat="1" x14ac:dyDescent="0.3">
      <c r="A27" s="81">
        <v>43334.981874999998</v>
      </c>
      <c r="B27" s="10">
        <v>3.4</v>
      </c>
      <c r="C27" s="10" t="s">
        <v>218</v>
      </c>
      <c r="D27" s="10">
        <v>32</v>
      </c>
      <c r="E27" s="10">
        <v>178</v>
      </c>
      <c r="F27" s="10">
        <v>0</v>
      </c>
      <c r="G27" s="10">
        <v>8</v>
      </c>
      <c r="H27" s="10">
        <v>11</v>
      </c>
      <c r="I27" s="10">
        <v>0</v>
      </c>
      <c r="J27" s="10">
        <v>0</v>
      </c>
      <c r="K27" s="10">
        <v>44</v>
      </c>
      <c r="L27" s="10">
        <v>44</v>
      </c>
    </row>
    <row r="28" spans="1:12" s="10" customFormat="1" x14ac:dyDescent="0.3">
      <c r="A28" s="81">
        <v>43334.982604166667</v>
      </c>
      <c r="B28" s="10">
        <v>3.5</v>
      </c>
      <c r="C28" s="10" t="s">
        <v>218</v>
      </c>
      <c r="D28" s="10">
        <v>38</v>
      </c>
      <c r="E28" s="10">
        <v>187</v>
      </c>
      <c r="F28" s="10">
        <v>0</v>
      </c>
      <c r="G28" s="10">
        <v>14</v>
      </c>
      <c r="H28" s="10">
        <v>16</v>
      </c>
      <c r="I28" s="10">
        <v>0</v>
      </c>
      <c r="J28" s="10">
        <v>0</v>
      </c>
      <c r="K28" s="10">
        <v>44</v>
      </c>
      <c r="L28" s="10">
        <v>44</v>
      </c>
    </row>
    <row r="29" spans="1:12" s="10" customFormat="1" x14ac:dyDescent="0.3">
      <c r="A29" s="81">
        <v>43334.9841087963</v>
      </c>
      <c r="B29" s="10">
        <v>4</v>
      </c>
      <c r="C29" s="10" t="s">
        <v>218</v>
      </c>
      <c r="D29" s="10">
        <v>38</v>
      </c>
      <c r="E29" s="10">
        <v>185</v>
      </c>
      <c r="F29" s="10">
        <v>0</v>
      </c>
      <c r="G29" s="10">
        <v>14</v>
      </c>
      <c r="H29" s="10">
        <v>9</v>
      </c>
      <c r="I29" s="10">
        <v>0</v>
      </c>
      <c r="J29" s="10">
        <v>0</v>
      </c>
      <c r="K29" s="10">
        <v>44</v>
      </c>
      <c r="L29" s="81">
        <v>44</v>
      </c>
    </row>
    <row r="30" spans="1:12" s="10" customFormat="1" x14ac:dyDescent="0.3">
      <c r="A30" s="81">
        <v>43334.984120370369</v>
      </c>
      <c r="B30" s="10">
        <v>4.0999999999999996</v>
      </c>
      <c r="C30" s="10" t="s">
        <v>218</v>
      </c>
      <c r="D30" s="10">
        <v>38</v>
      </c>
      <c r="E30" s="10">
        <v>182</v>
      </c>
      <c r="F30" s="10">
        <v>0</v>
      </c>
      <c r="G30" s="10">
        <v>0</v>
      </c>
      <c r="H30" s="10">
        <v>8</v>
      </c>
      <c r="I30" s="10">
        <v>0</v>
      </c>
      <c r="J30" s="10">
        <v>0</v>
      </c>
      <c r="K30" s="10">
        <v>44</v>
      </c>
      <c r="L30" s="10">
        <v>44</v>
      </c>
    </row>
    <row r="31" spans="1:12" s="10" customFormat="1" x14ac:dyDescent="0.3">
      <c r="A31" s="81">
        <v>43334.984120370369</v>
      </c>
      <c r="B31" s="10">
        <v>4.2</v>
      </c>
      <c r="C31" s="10" t="s">
        <v>218</v>
      </c>
      <c r="D31" s="10">
        <v>38</v>
      </c>
      <c r="E31" s="10">
        <v>180</v>
      </c>
      <c r="F31" s="10">
        <v>0</v>
      </c>
      <c r="G31" s="10">
        <v>0</v>
      </c>
      <c r="H31" s="10">
        <v>6</v>
      </c>
      <c r="I31" s="10">
        <v>0</v>
      </c>
      <c r="J31" s="10">
        <v>0</v>
      </c>
      <c r="K31" s="10">
        <v>44</v>
      </c>
      <c r="L31" s="10">
        <v>44</v>
      </c>
    </row>
    <row r="32" spans="1:12" s="10" customFormat="1" x14ac:dyDescent="0.3">
      <c r="A32" s="81">
        <v>43334.984120370369</v>
      </c>
      <c r="B32" s="10">
        <v>4.3</v>
      </c>
      <c r="C32" s="10" t="s">
        <v>218</v>
      </c>
      <c r="D32" s="10">
        <v>42</v>
      </c>
      <c r="E32" s="10">
        <v>185</v>
      </c>
      <c r="F32" s="10">
        <v>0</v>
      </c>
      <c r="G32" s="10">
        <v>4</v>
      </c>
      <c r="H32" s="10">
        <v>9</v>
      </c>
      <c r="I32" s="10">
        <v>0</v>
      </c>
      <c r="J32" s="10">
        <v>0</v>
      </c>
      <c r="K32" s="10">
        <v>44</v>
      </c>
      <c r="L32" s="10">
        <v>44</v>
      </c>
    </row>
    <row r="33" spans="1:12" s="10" customFormat="1" x14ac:dyDescent="0.3">
      <c r="A33" s="81">
        <v>43334.984131944446</v>
      </c>
      <c r="B33" s="10">
        <v>4.4000000000000004</v>
      </c>
      <c r="C33" s="10" t="s">
        <v>218</v>
      </c>
      <c r="D33" s="10">
        <v>43</v>
      </c>
      <c r="E33" s="10">
        <v>184</v>
      </c>
      <c r="F33" s="10">
        <v>0</v>
      </c>
      <c r="G33" s="10">
        <v>5</v>
      </c>
      <c r="H33" s="10">
        <v>8</v>
      </c>
      <c r="I33" s="10">
        <v>0</v>
      </c>
      <c r="J33" s="10">
        <v>0</v>
      </c>
      <c r="K33" s="10">
        <v>44</v>
      </c>
      <c r="L33" s="10">
        <v>44</v>
      </c>
    </row>
    <row r="34" spans="1:12" s="10" customFormat="1" x14ac:dyDescent="0.3">
      <c r="A34" s="81">
        <v>43334.984131944446</v>
      </c>
      <c r="B34" s="10">
        <v>4.5</v>
      </c>
      <c r="C34" s="10" t="s">
        <v>218</v>
      </c>
      <c r="D34" s="10">
        <v>44</v>
      </c>
      <c r="E34" s="10">
        <v>183</v>
      </c>
      <c r="F34" s="10">
        <v>0</v>
      </c>
      <c r="G34" s="10">
        <v>6</v>
      </c>
      <c r="H34" s="10">
        <v>8</v>
      </c>
      <c r="I34" s="10">
        <v>0</v>
      </c>
      <c r="J34" s="10">
        <v>0</v>
      </c>
      <c r="K34" s="10">
        <v>44</v>
      </c>
      <c r="L34" s="10">
        <v>44</v>
      </c>
    </row>
    <row r="35" spans="1:12" s="10" customFormat="1" x14ac:dyDescent="0.3">
      <c r="A35" s="81">
        <v>43334.984143518515</v>
      </c>
      <c r="B35" s="10">
        <v>5</v>
      </c>
      <c r="C35" s="10" t="s">
        <v>218</v>
      </c>
      <c r="D35" s="10">
        <v>44</v>
      </c>
      <c r="E35" s="10">
        <v>173</v>
      </c>
      <c r="F35" s="10">
        <v>0</v>
      </c>
      <c r="G35" s="10">
        <v>6</v>
      </c>
      <c r="H35" s="10">
        <v>9</v>
      </c>
      <c r="I35" s="10">
        <v>0</v>
      </c>
      <c r="J35" s="10">
        <v>0</v>
      </c>
      <c r="K35" s="10">
        <v>44</v>
      </c>
      <c r="L35" s="10">
        <v>44</v>
      </c>
    </row>
    <row r="36" spans="1:12" s="10" customFormat="1" x14ac:dyDescent="0.3">
      <c r="A36" s="81">
        <v>43334.984143518515</v>
      </c>
      <c r="B36" s="10">
        <v>5.0999999999999996</v>
      </c>
      <c r="C36" s="10" t="s">
        <v>218</v>
      </c>
      <c r="D36" s="10">
        <v>44</v>
      </c>
      <c r="E36" s="10">
        <v>170</v>
      </c>
      <c r="F36" s="10">
        <v>0</v>
      </c>
      <c r="G36" s="10">
        <v>0</v>
      </c>
      <c r="H36" s="10">
        <v>7</v>
      </c>
      <c r="I36" s="10">
        <v>0</v>
      </c>
      <c r="J36" s="10">
        <v>0</v>
      </c>
      <c r="K36" s="10">
        <v>44</v>
      </c>
      <c r="L36" s="10">
        <v>44</v>
      </c>
    </row>
    <row r="37" spans="1:12" s="10" customFormat="1" x14ac:dyDescent="0.3">
      <c r="A37" s="81">
        <v>43334.984189814815</v>
      </c>
      <c r="B37" s="10">
        <v>7.1</v>
      </c>
      <c r="C37" s="10" t="s">
        <v>219</v>
      </c>
      <c r="D37" s="10">
        <v>57</v>
      </c>
      <c r="E37" s="10">
        <v>163</v>
      </c>
      <c r="F37" s="10">
        <v>1</v>
      </c>
      <c r="G37" s="10">
        <v>0</v>
      </c>
      <c r="H37" s="10">
        <v>7</v>
      </c>
      <c r="I37" s="10">
        <v>0</v>
      </c>
    </row>
    <row r="38" spans="1:12" s="10" customFormat="1" x14ac:dyDescent="0.3">
      <c r="A38" s="81">
        <v>43334.984201388892</v>
      </c>
      <c r="B38" s="10">
        <v>7.1</v>
      </c>
      <c r="C38" s="10" t="s">
        <v>219</v>
      </c>
      <c r="D38" s="10">
        <v>57</v>
      </c>
      <c r="E38" s="10">
        <v>163</v>
      </c>
      <c r="F38" s="10">
        <v>2</v>
      </c>
      <c r="G38" s="10">
        <v>0</v>
      </c>
      <c r="H38" s="10">
        <v>7</v>
      </c>
      <c r="I38" s="10">
        <v>0</v>
      </c>
    </row>
    <row r="39" spans="1:12" s="10" customFormat="1" x14ac:dyDescent="0.3">
      <c r="A39" s="81">
        <v>43334.984201388892</v>
      </c>
      <c r="B39" s="10">
        <v>7.1</v>
      </c>
      <c r="C39" s="10" t="s">
        <v>219</v>
      </c>
      <c r="D39" s="10">
        <v>57</v>
      </c>
      <c r="E39" s="10">
        <v>163</v>
      </c>
      <c r="F39" s="10">
        <v>3</v>
      </c>
      <c r="G39" s="10">
        <v>0</v>
      </c>
      <c r="H39" s="10">
        <v>7</v>
      </c>
      <c r="I39" s="10">
        <v>0</v>
      </c>
    </row>
    <row r="40" spans="1:12" s="10" customFormat="1" x14ac:dyDescent="0.3">
      <c r="A40" s="81">
        <v>43334.984201388892</v>
      </c>
      <c r="B40" s="10">
        <v>7.1</v>
      </c>
      <c r="C40" s="10" t="s">
        <v>219</v>
      </c>
      <c r="D40" s="10">
        <v>57</v>
      </c>
      <c r="E40" s="10">
        <v>163</v>
      </c>
      <c r="F40" s="10">
        <v>4</v>
      </c>
      <c r="G40" s="10">
        <v>0</v>
      </c>
      <c r="H40" s="10">
        <v>7</v>
      </c>
      <c r="I40" s="10">
        <v>0</v>
      </c>
    </row>
    <row r="41" spans="1:12" s="10" customFormat="1" x14ac:dyDescent="0.3">
      <c r="A41" s="81">
        <v>43334.984212962961</v>
      </c>
      <c r="B41" s="10">
        <v>7.1</v>
      </c>
      <c r="C41" s="10" t="s">
        <v>219</v>
      </c>
      <c r="D41" s="10">
        <v>57</v>
      </c>
      <c r="E41" s="10">
        <v>163</v>
      </c>
      <c r="F41" s="10">
        <v>4</v>
      </c>
      <c r="G41" s="10">
        <v>0</v>
      </c>
      <c r="H41" s="10">
        <v>7</v>
      </c>
      <c r="I41" s="10">
        <v>-11</v>
      </c>
    </row>
    <row r="42" spans="1:12" s="10" customFormat="1" x14ac:dyDescent="0.3">
      <c r="A42" s="81">
        <v>43334.984212962961</v>
      </c>
      <c r="B42" s="10">
        <v>7.1</v>
      </c>
      <c r="C42" s="10" t="s">
        <v>219</v>
      </c>
      <c r="D42" s="10">
        <v>57</v>
      </c>
      <c r="E42" s="10">
        <v>163</v>
      </c>
      <c r="F42" s="10">
        <v>4</v>
      </c>
      <c r="G42" s="10">
        <v>0</v>
      </c>
      <c r="H42" s="10">
        <v>7</v>
      </c>
      <c r="I42" s="10">
        <v>-22</v>
      </c>
    </row>
    <row r="43" spans="1:12" s="10" customFormat="1" x14ac:dyDescent="0.3">
      <c r="A43" s="81">
        <v>43334.984224537038</v>
      </c>
      <c r="B43" s="10">
        <v>7.1</v>
      </c>
      <c r="C43" s="10" t="s">
        <v>219</v>
      </c>
      <c r="D43" s="10">
        <v>57</v>
      </c>
      <c r="E43" s="10">
        <v>163</v>
      </c>
      <c r="F43" s="10">
        <v>4</v>
      </c>
      <c r="G43" s="10">
        <v>0</v>
      </c>
      <c r="H43" s="10">
        <v>7</v>
      </c>
      <c r="I43" s="10">
        <v>-33</v>
      </c>
    </row>
    <row r="44" spans="1:12" s="10" customFormat="1" x14ac:dyDescent="0.3">
      <c r="A44" s="81">
        <v>43334.984224537038</v>
      </c>
      <c r="B44" s="10">
        <v>7.1</v>
      </c>
      <c r="C44" s="10" t="s">
        <v>219</v>
      </c>
      <c r="D44" s="10">
        <v>57</v>
      </c>
      <c r="E44" s="10">
        <v>163</v>
      </c>
      <c r="F44" s="10">
        <v>4</v>
      </c>
      <c r="G44" s="10">
        <v>0</v>
      </c>
      <c r="H44" s="10">
        <v>7</v>
      </c>
      <c r="I44" s="10">
        <v>-44</v>
      </c>
    </row>
    <row r="45" spans="1:12" s="10" customFormat="1" x14ac:dyDescent="0.3">
      <c r="A45" s="81">
        <v>43334.984236111108</v>
      </c>
      <c r="B45" s="10">
        <v>7.1</v>
      </c>
      <c r="C45" s="10" t="s">
        <v>219</v>
      </c>
      <c r="D45" s="10">
        <v>57</v>
      </c>
      <c r="E45" s="10">
        <v>163</v>
      </c>
      <c r="F45" s="10">
        <v>3</v>
      </c>
      <c r="G45" s="10">
        <v>0</v>
      </c>
      <c r="H45" s="10">
        <v>7</v>
      </c>
      <c r="I45" s="10">
        <v>-44</v>
      </c>
    </row>
    <row r="46" spans="1:12" s="10" customFormat="1" x14ac:dyDescent="0.3">
      <c r="A46" s="81">
        <v>43334.984363425923</v>
      </c>
      <c r="B46" s="10">
        <v>17.5</v>
      </c>
      <c r="C46" s="10" t="s">
        <v>219</v>
      </c>
      <c r="D46" s="10">
        <v>123</v>
      </c>
      <c r="E46" s="10">
        <v>137</v>
      </c>
      <c r="F46" s="10">
        <v>2</v>
      </c>
      <c r="G46" s="10">
        <v>4</v>
      </c>
      <c r="H46" s="10">
        <v>5</v>
      </c>
      <c r="I46" s="10">
        <v>0</v>
      </c>
    </row>
    <row r="47" spans="1:12" s="10" customFormat="1" x14ac:dyDescent="0.3">
      <c r="A47" s="81">
        <v>43334.984363425923</v>
      </c>
      <c r="B47" s="10">
        <v>17.5</v>
      </c>
      <c r="C47" s="10" t="s">
        <v>218</v>
      </c>
      <c r="D47" s="10">
        <v>123</v>
      </c>
      <c r="E47" s="10">
        <v>137</v>
      </c>
      <c r="F47" s="10">
        <v>2</v>
      </c>
      <c r="G47" s="10">
        <v>4</v>
      </c>
      <c r="H47" s="10">
        <v>5</v>
      </c>
      <c r="I47" s="10">
        <v>0</v>
      </c>
      <c r="J47" s="10">
        <v>-82</v>
      </c>
      <c r="K47" s="10">
        <v>-44</v>
      </c>
      <c r="L47" s="10">
        <v>-126</v>
      </c>
    </row>
    <row r="48" spans="1:12" s="10" customFormat="1" x14ac:dyDescent="0.3">
      <c r="A48" s="81">
        <v>43334.984375</v>
      </c>
      <c r="B48" s="10">
        <v>18</v>
      </c>
      <c r="C48" s="10" t="s">
        <v>218</v>
      </c>
      <c r="D48" s="10">
        <v>123</v>
      </c>
      <c r="E48" s="10">
        <v>132</v>
      </c>
      <c r="F48" s="10">
        <v>2</v>
      </c>
      <c r="G48" s="10">
        <v>4</v>
      </c>
      <c r="H48" s="10">
        <v>7</v>
      </c>
      <c r="I48" s="10">
        <v>0</v>
      </c>
      <c r="J48" s="10">
        <v>-92</v>
      </c>
      <c r="K48" s="10">
        <v>-44</v>
      </c>
      <c r="L48" s="10">
        <v>-136</v>
      </c>
    </row>
    <row r="49" spans="1:12" s="10" customFormat="1" x14ac:dyDescent="0.3">
      <c r="A49" s="81">
        <v>43334.984375</v>
      </c>
      <c r="B49" s="10">
        <v>18.100000000000001</v>
      </c>
      <c r="C49" s="10" t="s">
        <v>218</v>
      </c>
      <c r="D49" s="10">
        <v>123</v>
      </c>
      <c r="E49" s="10">
        <v>132</v>
      </c>
      <c r="F49" s="10">
        <v>2</v>
      </c>
      <c r="G49" s="10">
        <v>0</v>
      </c>
      <c r="H49" s="10">
        <v>6</v>
      </c>
      <c r="I49" s="10">
        <v>0</v>
      </c>
      <c r="J49" s="10">
        <v>-92</v>
      </c>
      <c r="K49" s="10">
        <v>-44</v>
      </c>
      <c r="L49" s="10">
        <v>-136</v>
      </c>
    </row>
    <row r="50" spans="1:12" s="10" customFormat="1" x14ac:dyDescent="0.3">
      <c r="A50" s="81">
        <v>43334.984386574077</v>
      </c>
      <c r="B50" s="10">
        <v>18.2</v>
      </c>
      <c r="C50" s="10" t="s">
        <v>218</v>
      </c>
      <c r="D50" s="10">
        <v>124</v>
      </c>
      <c r="E50" s="10">
        <v>132</v>
      </c>
      <c r="F50" s="10">
        <v>2</v>
      </c>
      <c r="G50" s="10">
        <v>1</v>
      </c>
      <c r="H50" s="10">
        <v>5</v>
      </c>
      <c r="I50" s="10">
        <v>0</v>
      </c>
      <c r="J50" s="10">
        <v>-92</v>
      </c>
      <c r="K50" s="10">
        <v>-44</v>
      </c>
      <c r="L50" s="10">
        <v>-136</v>
      </c>
    </row>
    <row r="51" spans="1:12" s="10" customFormat="1" x14ac:dyDescent="0.3">
      <c r="A51" s="81">
        <v>43334.984386574077</v>
      </c>
      <c r="B51" s="10">
        <v>18.3</v>
      </c>
      <c r="C51" s="10" t="s">
        <v>218</v>
      </c>
      <c r="D51" s="10">
        <v>125</v>
      </c>
      <c r="E51" s="10">
        <v>133</v>
      </c>
      <c r="F51" s="10">
        <v>2</v>
      </c>
      <c r="G51" s="10">
        <v>2</v>
      </c>
      <c r="H51" s="10">
        <v>5</v>
      </c>
      <c r="I51" s="10">
        <v>0</v>
      </c>
      <c r="J51" s="10">
        <v>-90</v>
      </c>
      <c r="K51" s="10">
        <v>-44</v>
      </c>
      <c r="L51" s="10">
        <v>-134</v>
      </c>
    </row>
    <row r="52" spans="1:12" s="10" customFormat="1" x14ac:dyDescent="0.3">
      <c r="A52" s="81">
        <v>43334.984398148146</v>
      </c>
      <c r="B52" s="10">
        <v>18.399999999999999</v>
      </c>
      <c r="C52" s="10" t="s">
        <v>218</v>
      </c>
      <c r="D52" s="10">
        <v>131</v>
      </c>
      <c r="E52" s="10">
        <v>138</v>
      </c>
      <c r="F52" s="10">
        <v>2</v>
      </c>
      <c r="G52" s="10">
        <v>8</v>
      </c>
      <c r="H52" s="10">
        <v>11</v>
      </c>
      <c r="I52" s="10">
        <v>0</v>
      </c>
      <c r="J52" s="10">
        <v>-80</v>
      </c>
      <c r="K52" s="10">
        <v>-44</v>
      </c>
      <c r="L52" s="10">
        <v>-124</v>
      </c>
    </row>
    <row r="53" spans="1:12" s="10" customFormat="1" x14ac:dyDescent="0.3">
      <c r="A53" s="81">
        <v>43334.984398148146</v>
      </c>
      <c r="B53" s="10">
        <v>18.5</v>
      </c>
      <c r="C53" s="10" t="s">
        <v>218</v>
      </c>
      <c r="D53" s="10">
        <v>132</v>
      </c>
      <c r="E53" s="10">
        <v>139</v>
      </c>
      <c r="F53" s="10">
        <v>2</v>
      </c>
      <c r="G53" s="10">
        <v>9</v>
      </c>
      <c r="H53" s="10">
        <v>10</v>
      </c>
      <c r="I53" s="10">
        <v>0</v>
      </c>
      <c r="J53" s="10">
        <v>-78</v>
      </c>
      <c r="K53" s="10">
        <v>-44</v>
      </c>
      <c r="L53" s="10">
        <v>-122</v>
      </c>
    </row>
    <row r="54" spans="1:12" s="10" customFormat="1" x14ac:dyDescent="0.3">
      <c r="A54" s="81">
        <v>43334.984409722223</v>
      </c>
      <c r="B54" s="10">
        <v>19</v>
      </c>
      <c r="C54" s="10" t="s">
        <v>218</v>
      </c>
      <c r="D54" s="10">
        <v>136</v>
      </c>
      <c r="E54" s="10">
        <v>143</v>
      </c>
      <c r="F54" s="10">
        <v>2</v>
      </c>
      <c r="G54" s="10">
        <v>13</v>
      </c>
      <c r="H54" s="10">
        <v>7</v>
      </c>
      <c r="I54" s="10">
        <v>0</v>
      </c>
      <c r="J54" s="10">
        <v>-70</v>
      </c>
      <c r="K54" s="10">
        <v>-44</v>
      </c>
      <c r="L54" s="10">
        <v>-114</v>
      </c>
    </row>
    <row r="55" spans="1:12" s="10" customFormat="1" x14ac:dyDescent="0.3">
      <c r="A55" s="81">
        <v>43334.984409722223</v>
      </c>
      <c r="B55" s="10">
        <v>19.100000000000001</v>
      </c>
      <c r="C55" s="10" t="s">
        <v>218</v>
      </c>
      <c r="D55" s="10">
        <v>137</v>
      </c>
      <c r="E55" s="10">
        <v>143</v>
      </c>
      <c r="F55" s="10">
        <v>2</v>
      </c>
      <c r="G55" s="10">
        <v>1</v>
      </c>
      <c r="H55" s="10">
        <v>7</v>
      </c>
      <c r="I55" s="10">
        <v>0</v>
      </c>
      <c r="J55" s="10">
        <v>-70</v>
      </c>
      <c r="K55" s="10">
        <v>-44</v>
      </c>
      <c r="L55" s="10">
        <v>-114</v>
      </c>
    </row>
    <row r="56" spans="1:12" s="10" customFormat="1" x14ac:dyDescent="0.3">
      <c r="A56" s="81">
        <v>43334.984432870369</v>
      </c>
      <c r="B56" s="10">
        <v>19.2</v>
      </c>
      <c r="C56" s="10" t="s">
        <v>218</v>
      </c>
      <c r="D56" s="10">
        <v>141</v>
      </c>
      <c r="E56" s="10">
        <v>146</v>
      </c>
      <c r="F56" s="10">
        <v>2</v>
      </c>
      <c r="G56" s="10">
        <v>5</v>
      </c>
      <c r="H56" s="10">
        <v>12</v>
      </c>
      <c r="I56" s="10">
        <v>0</v>
      </c>
      <c r="J56" s="10">
        <v>-64</v>
      </c>
      <c r="K56" s="10">
        <v>-44</v>
      </c>
      <c r="L56" s="10">
        <v>-108</v>
      </c>
    </row>
    <row r="57" spans="1:12" s="10" customFormat="1" x14ac:dyDescent="0.3">
      <c r="A57" s="81">
        <v>43334.984432870369</v>
      </c>
      <c r="B57" s="10">
        <v>19.3</v>
      </c>
      <c r="C57" s="10" t="s">
        <v>218</v>
      </c>
      <c r="D57" s="10">
        <v>142</v>
      </c>
      <c r="E57" s="10">
        <v>146</v>
      </c>
      <c r="F57" s="10">
        <v>2</v>
      </c>
      <c r="G57" s="10">
        <v>6</v>
      </c>
      <c r="H57" s="10">
        <v>10</v>
      </c>
      <c r="I57" s="10">
        <v>0</v>
      </c>
      <c r="J57" s="10">
        <v>-64</v>
      </c>
      <c r="K57" s="10">
        <v>-44</v>
      </c>
      <c r="L57" s="10">
        <v>-108</v>
      </c>
    </row>
    <row r="58" spans="1:12" s="10" customFormat="1" x14ac:dyDescent="0.3">
      <c r="A58" s="81">
        <v>43334.984606481485</v>
      </c>
      <c r="B58" s="10">
        <v>19.399999999999999</v>
      </c>
      <c r="C58" s="10" t="s">
        <v>218</v>
      </c>
      <c r="D58" s="10">
        <v>142</v>
      </c>
      <c r="E58" s="10">
        <v>143</v>
      </c>
      <c r="F58" s="10">
        <v>2</v>
      </c>
      <c r="G58" s="10">
        <v>6</v>
      </c>
      <c r="H58" s="10">
        <v>9</v>
      </c>
      <c r="I58" s="10">
        <v>0</v>
      </c>
      <c r="J58" s="10">
        <v>-70</v>
      </c>
      <c r="K58" s="10">
        <v>-44</v>
      </c>
      <c r="L58" s="10">
        <v>-114</v>
      </c>
    </row>
    <row r="59" spans="1:12" s="10" customFormat="1" x14ac:dyDescent="0.3">
      <c r="A59" s="81">
        <v>43334.984606481485</v>
      </c>
      <c r="B59" s="10">
        <v>19.5</v>
      </c>
      <c r="C59" s="10" t="s">
        <v>218</v>
      </c>
      <c r="D59" s="10">
        <v>143</v>
      </c>
      <c r="E59" s="10">
        <v>143</v>
      </c>
      <c r="F59" s="10">
        <v>2</v>
      </c>
      <c r="G59" s="10">
        <v>7</v>
      </c>
      <c r="H59" s="10">
        <v>8</v>
      </c>
      <c r="I59" s="10">
        <v>0</v>
      </c>
      <c r="J59" s="10">
        <v>-70</v>
      </c>
      <c r="K59" s="10">
        <v>-44</v>
      </c>
      <c r="L59" s="10">
        <v>-114</v>
      </c>
    </row>
    <row r="60" spans="1:12" s="10" customFormat="1" x14ac:dyDescent="0.3">
      <c r="A60" s="81">
        <v>43334.984606481485</v>
      </c>
      <c r="B60" s="10">
        <v>20</v>
      </c>
      <c r="C60" s="10" t="s">
        <v>218</v>
      </c>
      <c r="D60" s="10">
        <v>143</v>
      </c>
      <c r="E60" s="10">
        <v>143</v>
      </c>
      <c r="F60" s="10">
        <v>0</v>
      </c>
      <c r="G60" s="10">
        <v>7</v>
      </c>
      <c r="H60" s="10">
        <v>8</v>
      </c>
      <c r="I60" s="10">
        <v>0</v>
      </c>
      <c r="J60" s="10">
        <v>-70</v>
      </c>
      <c r="K60" s="10">
        <v>-44</v>
      </c>
      <c r="L60" s="10">
        <v>-114</v>
      </c>
    </row>
    <row r="61" spans="1:12" s="10" customFormat="1" x14ac:dyDescent="0.3">
      <c r="A61" s="81"/>
    </row>
    <row r="62" spans="1:12" s="10" customFormat="1" x14ac:dyDescent="0.3">
      <c r="A62" s="81"/>
    </row>
    <row r="63" spans="1:12" s="10" customFormat="1" x14ac:dyDescent="0.3">
      <c r="A63" s="81"/>
    </row>
    <row r="64" spans="1:12" s="10" customFormat="1" x14ac:dyDescent="0.3">
      <c r="A64" s="81"/>
    </row>
    <row r="65" spans="1:1" s="10" customFormat="1" x14ac:dyDescent="0.3">
      <c r="A65" s="81"/>
    </row>
    <row r="66" spans="1:1" s="10" customFormat="1" x14ac:dyDescent="0.3">
      <c r="A66" s="81"/>
    </row>
    <row r="67" spans="1:1" s="10" customFormat="1" x14ac:dyDescent="0.3">
      <c r="A67" s="81"/>
    </row>
    <row r="68" spans="1:1" s="10" customFormat="1" x14ac:dyDescent="0.3">
      <c r="A68" s="81"/>
    </row>
    <row r="69" spans="1:1" s="10" customFormat="1" x14ac:dyDescent="0.3">
      <c r="A69" s="81"/>
    </row>
    <row r="70" spans="1:1" s="10" customFormat="1" x14ac:dyDescent="0.3">
      <c r="A70" s="81"/>
    </row>
    <row r="71" spans="1:1" s="10" customFormat="1" x14ac:dyDescent="0.3">
      <c r="A71" s="81"/>
    </row>
    <row r="72" spans="1:1" s="10" customFormat="1" x14ac:dyDescent="0.3">
      <c r="A72" s="81"/>
    </row>
    <row r="73" spans="1:1" s="10" customFormat="1" x14ac:dyDescent="0.3">
      <c r="A73" s="81"/>
    </row>
    <row r="74" spans="1:1" s="10" customFormat="1" x14ac:dyDescent="0.3">
      <c r="A74" s="81"/>
    </row>
    <row r="75" spans="1:1" s="10" customFormat="1" x14ac:dyDescent="0.3">
      <c r="A75" s="81"/>
    </row>
    <row r="76" spans="1:1" s="10" customFormat="1" x14ac:dyDescent="0.3">
      <c r="A76" s="81"/>
    </row>
    <row r="77" spans="1:1" s="10" customFormat="1" x14ac:dyDescent="0.3">
      <c r="A77" s="81"/>
    </row>
    <row r="78" spans="1:1" s="10" customFormat="1" x14ac:dyDescent="0.3">
      <c r="A78" s="81"/>
    </row>
    <row r="79" spans="1:1" s="10" customFormat="1" x14ac:dyDescent="0.3">
      <c r="A79" s="81"/>
    </row>
    <row r="80" spans="1:1" s="10" customFormat="1" x14ac:dyDescent="0.3">
      <c r="A80" s="81"/>
    </row>
    <row r="81" spans="1:1" s="10" customFormat="1" x14ac:dyDescent="0.3">
      <c r="A81" s="81"/>
    </row>
    <row r="82" spans="1:1" s="10" customFormat="1" x14ac:dyDescent="0.3">
      <c r="A82" s="81"/>
    </row>
    <row r="83" spans="1:1" s="10" customFormat="1" x14ac:dyDescent="0.3">
      <c r="A83" s="81"/>
    </row>
    <row r="84" spans="1:1" s="10" customFormat="1" x14ac:dyDescent="0.3">
      <c r="A84" s="81"/>
    </row>
    <row r="85" spans="1:1" s="10" customFormat="1" x14ac:dyDescent="0.3">
      <c r="A85" s="81"/>
    </row>
    <row r="86" spans="1:1" s="10" customFormat="1" x14ac:dyDescent="0.3">
      <c r="A86" s="81"/>
    </row>
    <row r="87" spans="1:1" s="10" customFormat="1" x14ac:dyDescent="0.3">
      <c r="A87" s="81"/>
    </row>
    <row r="88" spans="1:1" s="10" customFormat="1" x14ac:dyDescent="0.3">
      <c r="A88" s="81"/>
    </row>
    <row r="89" spans="1:1" s="10" customFormat="1" x14ac:dyDescent="0.3">
      <c r="A89" s="81"/>
    </row>
    <row r="90" spans="1:1" s="10" customFormat="1" x14ac:dyDescent="0.3">
      <c r="A90" s="81"/>
    </row>
    <row r="91" spans="1:1" s="10" customFormat="1" x14ac:dyDescent="0.3">
      <c r="A91" s="81"/>
    </row>
    <row r="92" spans="1:1" s="10" customFormat="1" x14ac:dyDescent="0.3">
      <c r="A92" s="81"/>
    </row>
    <row r="93" spans="1:1" s="10" customFormat="1" x14ac:dyDescent="0.3">
      <c r="A93" s="81"/>
    </row>
    <row r="94" spans="1:1" s="10" customFormat="1" x14ac:dyDescent="0.3">
      <c r="A94" s="81"/>
    </row>
    <row r="95" spans="1:1" s="10" customFormat="1" x14ac:dyDescent="0.3">
      <c r="A95" s="81"/>
    </row>
    <row r="96" spans="1:1" s="10" customFormat="1" x14ac:dyDescent="0.3">
      <c r="A96" s="81"/>
    </row>
    <row r="97" spans="1:1" s="10" customFormat="1" x14ac:dyDescent="0.3">
      <c r="A97" s="81"/>
    </row>
    <row r="98" spans="1:1" s="10" customFormat="1" x14ac:dyDescent="0.3">
      <c r="A98" s="81"/>
    </row>
    <row r="99" spans="1:1" s="10" customFormat="1" x14ac:dyDescent="0.3">
      <c r="A99" s="81"/>
    </row>
    <row r="100" spans="1:1" s="10" customFormat="1" x14ac:dyDescent="0.3">
      <c r="A100" s="81"/>
    </row>
    <row r="101" spans="1:1" s="10" customFormat="1" x14ac:dyDescent="0.3">
      <c r="A101" s="81"/>
    </row>
    <row r="102" spans="1:1" s="10" customFormat="1" x14ac:dyDescent="0.3">
      <c r="A102" s="81"/>
    </row>
    <row r="103" spans="1:1" s="10" customFormat="1" x14ac:dyDescent="0.3">
      <c r="A103" s="81"/>
    </row>
    <row r="104" spans="1:1" s="10" customFormat="1" x14ac:dyDescent="0.3">
      <c r="A104" s="81"/>
    </row>
    <row r="105" spans="1:1" s="10" customFormat="1" x14ac:dyDescent="0.3">
      <c r="A105" s="81"/>
    </row>
    <row r="106" spans="1:1" s="10" customFormat="1" x14ac:dyDescent="0.3">
      <c r="A106" s="81"/>
    </row>
    <row r="107" spans="1:1" s="10" customFormat="1" x14ac:dyDescent="0.3">
      <c r="A107" s="81"/>
    </row>
    <row r="108" spans="1:1" s="10" customFormat="1" x14ac:dyDescent="0.3">
      <c r="A108" s="81"/>
    </row>
    <row r="109" spans="1:1" s="10" customFormat="1" x14ac:dyDescent="0.3">
      <c r="A109" s="81"/>
    </row>
    <row r="110" spans="1:1" s="10" customFormat="1" x14ac:dyDescent="0.3">
      <c r="A110" s="81"/>
    </row>
    <row r="111" spans="1:1" s="10" customFormat="1" x14ac:dyDescent="0.3">
      <c r="A111" s="81"/>
    </row>
    <row r="112" spans="1:1" s="10" customFormat="1" x14ac:dyDescent="0.3">
      <c r="A112" s="81"/>
    </row>
    <row r="113" spans="1:11" s="10" customFormat="1" x14ac:dyDescent="0.3">
      <c r="A113" s="81"/>
    </row>
    <row r="114" spans="1:11" s="10" customFormat="1" x14ac:dyDescent="0.3">
      <c r="A114" s="81"/>
    </row>
    <row r="115" spans="1:11" s="10" customFormat="1" x14ac:dyDescent="0.3">
      <c r="A115" s="81"/>
    </row>
    <row r="116" spans="1:11" s="10" customFormat="1" x14ac:dyDescent="0.3">
      <c r="A116" s="81"/>
    </row>
    <row r="117" spans="1:11" s="10" customFormat="1" x14ac:dyDescent="0.3">
      <c r="A117" s="81"/>
    </row>
    <row r="118" spans="1:11" s="10" customFormat="1" x14ac:dyDescent="0.3">
      <c r="A118" s="81"/>
    </row>
    <row r="119" spans="1:11" s="10" customFormat="1" x14ac:dyDescent="0.3">
      <c r="A119" s="81"/>
    </row>
    <row r="120" spans="1:11" s="10" customFormat="1" x14ac:dyDescent="0.3">
      <c r="A120" s="81"/>
    </row>
    <row r="121" spans="1:11" s="10" customFormat="1" x14ac:dyDescent="0.3">
      <c r="A121" s="81"/>
    </row>
    <row r="122" spans="1:11" s="10" customFormat="1" x14ac:dyDescent="0.3">
      <c r="A122" s="81"/>
    </row>
    <row r="123" spans="1:11" s="10" customFormat="1" x14ac:dyDescent="0.3">
      <c r="A123" s="81"/>
    </row>
    <row r="124" spans="1:11" s="10" customFormat="1" x14ac:dyDescent="0.3">
      <c r="A124" s="81"/>
    </row>
    <row r="125" spans="1:11" s="10" customFormat="1" x14ac:dyDescent="0.3">
      <c r="A125" s="81"/>
    </row>
    <row r="126" spans="1:11" s="10" customFormat="1" x14ac:dyDescent="0.3">
      <c r="A126" s="81"/>
      <c r="E126" s="87"/>
    </row>
    <row r="127" spans="1:11" s="10" customFormat="1" x14ac:dyDescent="0.3">
      <c r="A127" s="81"/>
      <c r="C127" s="87"/>
      <c r="G127" s="88"/>
      <c r="K127" s="87"/>
    </row>
    <row r="128" spans="1:11" s="10" customFormat="1" x14ac:dyDescent="0.3">
      <c r="A128" s="81"/>
    </row>
    <row r="129" spans="1:8" s="10" customFormat="1" x14ac:dyDescent="0.3">
      <c r="A129" s="81"/>
    </row>
    <row r="130" spans="1:8" s="10" customFormat="1" x14ac:dyDescent="0.3">
      <c r="A130" s="81"/>
      <c r="B130" s="76"/>
      <c r="C130" s="76"/>
      <c r="D130" s="76"/>
      <c r="E130" s="76"/>
      <c r="F130" s="76"/>
      <c r="G130" s="76"/>
      <c r="H130" s="76"/>
    </row>
    <row r="131" spans="1:8" s="10" customFormat="1" x14ac:dyDescent="0.3">
      <c r="A131" s="81"/>
    </row>
    <row r="132" spans="1:8" s="10" customFormat="1" x14ac:dyDescent="0.3">
      <c r="A132" s="8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election activeCell="L24" sqref="L24"/>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531"/>
  <sheetViews>
    <sheetView workbookViewId="0">
      <selection activeCell="I18" sqref="I18"/>
    </sheetView>
  </sheetViews>
  <sheetFormatPr defaultRowHeight="14.4" x14ac:dyDescent="0.3"/>
  <cols>
    <col min="1" max="1" width="11.5546875" bestFit="1" customWidth="1"/>
    <col min="6" max="6" width="11.5546875" bestFit="1" customWidth="1"/>
  </cols>
  <sheetData>
    <row r="1" spans="1:9" s="10" customFormat="1" x14ac:dyDescent="0.3">
      <c r="A1" s="9">
        <v>0.98460648148148155</v>
      </c>
      <c r="B1" s="10">
        <v>20</v>
      </c>
      <c r="C1" s="10">
        <v>143</v>
      </c>
      <c r="D1" s="10">
        <v>-2</v>
      </c>
    </row>
    <row r="2" spans="1:9" s="10" customFormat="1" x14ac:dyDescent="0.3">
      <c r="A2" s="9">
        <v>0.98436342592592585</v>
      </c>
      <c r="B2" s="10">
        <v>17.5</v>
      </c>
      <c r="C2" s="10">
        <v>158</v>
      </c>
      <c r="D2" s="10">
        <v>-1</v>
      </c>
    </row>
    <row r="3" spans="1:9" s="10" customFormat="1" x14ac:dyDescent="0.3">
      <c r="F3" s="9">
        <v>0.98424768518518524</v>
      </c>
      <c r="G3" s="10">
        <v>8</v>
      </c>
      <c r="H3" s="10">
        <v>8</v>
      </c>
      <c r="I3" s="10">
        <v>44</v>
      </c>
    </row>
    <row r="4" spans="1:9" s="10" customFormat="1" x14ac:dyDescent="0.3">
      <c r="A4" s="9">
        <v>0.98423611111111109</v>
      </c>
      <c r="B4" s="10">
        <v>7.1</v>
      </c>
      <c r="C4" s="10">
        <v>170</v>
      </c>
      <c r="D4" s="10">
        <v>-1</v>
      </c>
    </row>
    <row r="5" spans="1:9" s="10" customFormat="1" x14ac:dyDescent="0.3">
      <c r="F5" s="9">
        <v>0.98422453703703694</v>
      </c>
      <c r="G5" s="10">
        <v>7.1</v>
      </c>
      <c r="H5" s="10">
        <v>6</v>
      </c>
      <c r="I5" s="10">
        <v>-11</v>
      </c>
    </row>
    <row r="6" spans="1:9" s="10" customFormat="1" x14ac:dyDescent="0.3">
      <c r="F6" s="9">
        <v>0.98422453703703694</v>
      </c>
      <c r="G6" s="10">
        <v>7.1</v>
      </c>
      <c r="H6" s="10">
        <v>6</v>
      </c>
      <c r="I6" s="10">
        <v>-11</v>
      </c>
    </row>
    <row r="7" spans="1:9" s="10" customFormat="1" x14ac:dyDescent="0.3">
      <c r="F7" s="9">
        <v>0.98421296296296301</v>
      </c>
      <c r="G7" s="10">
        <v>7.1</v>
      </c>
      <c r="H7" s="10">
        <v>6</v>
      </c>
      <c r="I7" s="10">
        <v>-11</v>
      </c>
    </row>
    <row r="8" spans="1:9" s="10" customFormat="1" x14ac:dyDescent="0.3">
      <c r="F8" s="9">
        <v>0.98421296296296301</v>
      </c>
      <c r="G8" s="10">
        <v>7.1</v>
      </c>
      <c r="H8" s="10">
        <v>6</v>
      </c>
      <c r="I8" s="10">
        <v>-11</v>
      </c>
    </row>
    <row r="9" spans="1:9" s="10" customFormat="1" x14ac:dyDescent="0.3">
      <c r="A9" s="9">
        <v>0.98420138888888886</v>
      </c>
      <c r="B9" s="10">
        <v>7.1</v>
      </c>
      <c r="C9" s="10">
        <v>171</v>
      </c>
      <c r="D9" s="10">
        <v>1</v>
      </c>
    </row>
    <row r="10" spans="1:9" s="10" customFormat="1" x14ac:dyDescent="0.3">
      <c r="A10" s="9">
        <v>0.98420138888888886</v>
      </c>
      <c r="B10" s="10">
        <v>7.1</v>
      </c>
      <c r="C10" s="10">
        <v>171</v>
      </c>
      <c r="D10" s="10">
        <v>1</v>
      </c>
    </row>
    <row r="11" spans="1:9" s="10" customFormat="1" x14ac:dyDescent="0.3">
      <c r="A11" s="9">
        <v>0.98420138888888886</v>
      </c>
      <c r="B11" s="10">
        <v>7.1</v>
      </c>
      <c r="C11" s="10">
        <v>171</v>
      </c>
      <c r="D11" s="10">
        <v>1</v>
      </c>
    </row>
    <row r="12" spans="1:9" s="10" customFormat="1" x14ac:dyDescent="0.3">
      <c r="A12" s="9">
        <v>0.98418981481481482</v>
      </c>
      <c r="B12" s="10">
        <v>7.1</v>
      </c>
      <c r="C12" s="10">
        <v>171</v>
      </c>
      <c r="D12" s="10">
        <v>1</v>
      </c>
    </row>
    <row r="13" spans="1:9" s="10" customFormat="1" x14ac:dyDescent="0.3">
      <c r="F13" s="9">
        <v>0.98135416666666664</v>
      </c>
      <c r="G13" s="10">
        <v>1.4</v>
      </c>
      <c r="H13" s="10">
        <v>9</v>
      </c>
      <c r="I13" s="10">
        <v>11</v>
      </c>
    </row>
    <row r="14" spans="1:9" s="10" customFormat="1" x14ac:dyDescent="0.3">
      <c r="F14" s="9">
        <v>0.98116898148148157</v>
      </c>
      <c r="G14" s="10">
        <v>1.1000000000000001</v>
      </c>
      <c r="H14" s="10">
        <v>14</v>
      </c>
      <c r="I14" s="10">
        <v>-11</v>
      </c>
    </row>
    <row r="15" spans="1:9" s="10" customFormat="1" x14ac:dyDescent="0.3">
      <c r="F15" s="9">
        <v>0.9808217592592593</v>
      </c>
      <c r="G15" s="10">
        <v>1</v>
      </c>
      <c r="H15" s="10">
        <v>6</v>
      </c>
      <c r="I15" s="10">
        <v>-11</v>
      </c>
    </row>
    <row r="16" spans="1:9" s="10" customFormat="1" x14ac:dyDescent="0.3">
      <c r="F16" s="9">
        <v>0.98016203703703697</v>
      </c>
      <c r="G16" s="10">
        <v>0.2</v>
      </c>
      <c r="H16" s="10">
        <v>7</v>
      </c>
      <c r="I16" s="10">
        <v>11</v>
      </c>
    </row>
    <row r="17" spans="1:6" s="10" customFormat="1" x14ac:dyDescent="0.3">
      <c r="F17" s="9"/>
    </row>
    <row r="18" spans="1:6" s="10" customFormat="1" x14ac:dyDescent="0.3">
      <c r="F18" s="9"/>
    </row>
    <row r="19" spans="1:6" s="10" customFormat="1" x14ac:dyDescent="0.3">
      <c r="F19" s="9"/>
    </row>
    <row r="20" spans="1:6" s="10" customFormat="1" x14ac:dyDescent="0.3">
      <c r="F20" s="9"/>
    </row>
    <row r="21" spans="1:6" s="10" customFormat="1" x14ac:dyDescent="0.3">
      <c r="F21" s="9"/>
    </row>
    <row r="22" spans="1:6" s="10" customFormat="1" x14ac:dyDescent="0.3">
      <c r="F22" s="9"/>
    </row>
    <row r="23" spans="1:6" s="10" customFormat="1" x14ac:dyDescent="0.3">
      <c r="F23" s="9"/>
    </row>
    <row r="24" spans="1:6" s="10" customFormat="1" x14ac:dyDescent="0.3">
      <c r="F24" s="9"/>
    </row>
    <row r="25" spans="1:6" s="10" customFormat="1" x14ac:dyDescent="0.3">
      <c r="F25" s="9"/>
    </row>
    <row r="26" spans="1:6" s="10" customFormat="1" x14ac:dyDescent="0.3">
      <c r="F26" s="9"/>
    </row>
    <row r="27" spans="1:6" s="10" customFormat="1" x14ac:dyDescent="0.3">
      <c r="A27" s="9"/>
    </row>
    <row r="28" spans="1:6" s="10" customFormat="1" x14ac:dyDescent="0.3">
      <c r="A28" s="9"/>
    </row>
    <row r="29" spans="1:6" s="10" customFormat="1" x14ac:dyDescent="0.3">
      <c r="F29" s="9"/>
    </row>
    <row r="30" spans="1:6" s="10" customFormat="1" x14ac:dyDescent="0.3">
      <c r="F30" s="9"/>
    </row>
    <row r="31" spans="1:6" s="10" customFormat="1" x14ac:dyDescent="0.3">
      <c r="F31" s="9"/>
    </row>
    <row r="32" spans="1:6" s="10" customFormat="1" x14ac:dyDescent="0.3">
      <c r="F32" s="9"/>
    </row>
    <row r="33" spans="1:6" s="10" customFormat="1" x14ac:dyDescent="0.3">
      <c r="F33" s="9"/>
    </row>
    <row r="34" spans="1:6" s="10" customFormat="1" x14ac:dyDescent="0.3">
      <c r="F34" s="9"/>
    </row>
    <row r="35" spans="1:6" s="10" customFormat="1" x14ac:dyDescent="0.3">
      <c r="F35" s="9"/>
    </row>
    <row r="36" spans="1:6" s="10" customFormat="1" x14ac:dyDescent="0.3">
      <c r="F36" s="9"/>
    </row>
    <row r="37" spans="1:6" s="10" customFormat="1" x14ac:dyDescent="0.3">
      <c r="F37" s="9"/>
    </row>
    <row r="38" spans="1:6" s="10" customFormat="1" x14ac:dyDescent="0.3">
      <c r="F38" s="9"/>
    </row>
    <row r="39" spans="1:6" s="10" customFormat="1" x14ac:dyDescent="0.3">
      <c r="F39" s="9"/>
    </row>
    <row r="40" spans="1:6" s="10" customFormat="1" x14ac:dyDescent="0.3">
      <c r="F40" s="9"/>
    </row>
    <row r="41" spans="1:6" s="10" customFormat="1" x14ac:dyDescent="0.3">
      <c r="F41" s="9"/>
    </row>
    <row r="42" spans="1:6" s="10" customFormat="1" x14ac:dyDescent="0.3">
      <c r="A42" s="9"/>
    </row>
    <row r="43" spans="1:6" s="10" customFormat="1" x14ac:dyDescent="0.3">
      <c r="F43" s="9"/>
    </row>
    <row r="44" spans="1:6" s="10" customFormat="1" x14ac:dyDescent="0.3">
      <c r="F44" s="9"/>
    </row>
    <row r="45" spans="1:6" s="10" customFormat="1" x14ac:dyDescent="0.3">
      <c r="A45" s="9"/>
    </row>
    <row r="46" spans="1:6" s="10" customFormat="1" x14ac:dyDescent="0.3">
      <c r="F46" s="9"/>
    </row>
    <row r="47" spans="1:6" s="10" customFormat="1" x14ac:dyDescent="0.3">
      <c r="F47" s="9"/>
    </row>
    <row r="48" spans="1:6" s="10" customFormat="1" x14ac:dyDescent="0.3">
      <c r="A48" s="9"/>
    </row>
    <row r="49" spans="1:6" s="10" customFormat="1" x14ac:dyDescent="0.3">
      <c r="F49" s="9"/>
    </row>
    <row r="50" spans="1:6" s="10" customFormat="1" x14ac:dyDescent="0.3">
      <c r="F50" s="9"/>
    </row>
    <row r="51" spans="1:6" s="10" customFormat="1" x14ac:dyDescent="0.3">
      <c r="F51" s="9"/>
    </row>
    <row r="52" spans="1:6" s="10" customFormat="1" x14ac:dyDescent="0.3">
      <c r="A52" s="9"/>
    </row>
    <row r="53" spans="1:6" s="10" customFormat="1" x14ac:dyDescent="0.3">
      <c r="F53" s="9"/>
    </row>
    <row r="54" spans="1:6" s="10" customFormat="1" x14ac:dyDescent="0.3">
      <c r="A54" s="9"/>
    </row>
    <row r="55" spans="1:6" s="10" customFormat="1" x14ac:dyDescent="0.3">
      <c r="A55" s="9"/>
    </row>
    <row r="56" spans="1:6" s="10" customFormat="1" x14ac:dyDescent="0.3">
      <c r="F56" s="9"/>
    </row>
    <row r="57" spans="1:6" s="10" customFormat="1" x14ac:dyDescent="0.3">
      <c r="F57" s="9"/>
    </row>
    <row r="58" spans="1:6" s="10" customFormat="1" x14ac:dyDescent="0.3">
      <c r="F58" s="9"/>
    </row>
    <row r="59" spans="1:6" s="10" customFormat="1" x14ac:dyDescent="0.3">
      <c r="F59" s="9"/>
    </row>
    <row r="60" spans="1:6" s="10" customFormat="1" x14ac:dyDescent="0.3">
      <c r="F60" s="9"/>
    </row>
    <row r="61" spans="1:6" s="10" customFormat="1" x14ac:dyDescent="0.3">
      <c r="F61" s="9"/>
    </row>
    <row r="62" spans="1:6" s="10" customFormat="1" x14ac:dyDescent="0.3">
      <c r="F62" s="9"/>
    </row>
    <row r="63" spans="1:6" s="10" customFormat="1" x14ac:dyDescent="0.3">
      <c r="A63" s="9"/>
    </row>
    <row r="64" spans="1:6" s="10" customFormat="1" x14ac:dyDescent="0.3">
      <c r="A64" s="9"/>
    </row>
    <row r="65" spans="1:6" s="10" customFormat="1" x14ac:dyDescent="0.3">
      <c r="A65" s="9"/>
    </row>
    <row r="66" spans="1:6" s="10" customFormat="1" x14ac:dyDescent="0.3">
      <c r="A66" s="9"/>
    </row>
    <row r="67" spans="1:6" s="10" customFormat="1" x14ac:dyDescent="0.3">
      <c r="A67" s="9"/>
    </row>
    <row r="68" spans="1:6" s="10" customFormat="1" x14ac:dyDescent="0.3">
      <c r="A68" s="9"/>
    </row>
    <row r="69" spans="1:6" s="10" customFormat="1" x14ac:dyDescent="0.3">
      <c r="A69" s="9"/>
    </row>
    <row r="70" spans="1:6" s="10" customFormat="1" x14ac:dyDescent="0.3">
      <c r="F70" s="9"/>
    </row>
    <row r="71" spans="1:6" s="10" customFormat="1" x14ac:dyDescent="0.3">
      <c r="F71" s="9"/>
    </row>
    <row r="72" spans="1:6" s="10" customFormat="1" x14ac:dyDescent="0.3">
      <c r="A72" s="9"/>
    </row>
    <row r="73" spans="1:6" s="10" customFormat="1" x14ac:dyDescent="0.3">
      <c r="F73" s="9"/>
    </row>
    <row r="74" spans="1:6" s="10" customFormat="1" x14ac:dyDescent="0.3">
      <c r="A74" s="9"/>
    </row>
    <row r="75" spans="1:6" s="10" customFormat="1" x14ac:dyDescent="0.3">
      <c r="F75" s="9"/>
    </row>
    <row r="76" spans="1:6" s="10" customFormat="1" x14ac:dyDescent="0.3">
      <c r="F76" s="9"/>
    </row>
    <row r="77" spans="1:6" s="10" customFormat="1" x14ac:dyDescent="0.3">
      <c r="F77" s="9"/>
    </row>
    <row r="78" spans="1:6" s="10" customFormat="1" x14ac:dyDescent="0.3">
      <c r="A78" s="9"/>
    </row>
    <row r="79" spans="1:6" s="10" customFormat="1" x14ac:dyDescent="0.3">
      <c r="A79" s="9"/>
    </row>
    <row r="80" spans="1:6" s="10" customFormat="1" x14ac:dyDescent="0.3">
      <c r="F80" s="9"/>
    </row>
    <row r="81" spans="1:6" s="10" customFormat="1" x14ac:dyDescent="0.3">
      <c r="F81" s="9"/>
    </row>
    <row r="82" spans="1:6" s="10" customFormat="1" x14ac:dyDescent="0.3">
      <c r="F82" s="9"/>
    </row>
    <row r="83" spans="1:6" s="10" customFormat="1" x14ac:dyDescent="0.3">
      <c r="F83" s="9"/>
    </row>
    <row r="84" spans="1:6" s="10" customFormat="1" x14ac:dyDescent="0.3">
      <c r="A84" s="9"/>
    </row>
    <row r="85" spans="1:6" s="10" customFormat="1" x14ac:dyDescent="0.3">
      <c r="A85" s="9"/>
    </row>
    <row r="86" spans="1:6" s="10" customFormat="1" x14ac:dyDescent="0.3">
      <c r="A86" s="9"/>
    </row>
    <row r="87" spans="1:6" s="10" customFormat="1" x14ac:dyDescent="0.3">
      <c r="A87" s="9"/>
    </row>
    <row r="88" spans="1:6" s="10" customFormat="1" x14ac:dyDescent="0.3">
      <c r="A88" s="9"/>
    </row>
    <row r="89" spans="1:6" s="10" customFormat="1" x14ac:dyDescent="0.3">
      <c r="A89" s="9"/>
    </row>
    <row r="90" spans="1:6" s="10" customFormat="1" x14ac:dyDescent="0.3">
      <c r="F90" s="9"/>
    </row>
    <row r="91" spans="1:6" s="10" customFormat="1" x14ac:dyDescent="0.3">
      <c r="F91" s="9"/>
    </row>
    <row r="92" spans="1:6" s="10" customFormat="1" x14ac:dyDescent="0.3">
      <c r="A92" s="9"/>
    </row>
    <row r="93" spans="1:6" s="10" customFormat="1" x14ac:dyDescent="0.3">
      <c r="A93" s="9"/>
    </row>
    <row r="94" spans="1:6" s="10" customFormat="1" x14ac:dyDescent="0.3">
      <c r="A94" s="9"/>
    </row>
    <row r="95" spans="1:6" s="10" customFormat="1" x14ac:dyDescent="0.3">
      <c r="A95" s="9"/>
    </row>
    <row r="96" spans="1:6" s="10" customFormat="1" x14ac:dyDescent="0.3">
      <c r="A96" s="9"/>
    </row>
    <row r="97" spans="1:6" s="10" customFormat="1" x14ac:dyDescent="0.3">
      <c r="A97" s="9"/>
    </row>
    <row r="98" spans="1:6" s="10" customFormat="1" x14ac:dyDescent="0.3">
      <c r="A98" s="9"/>
    </row>
    <row r="99" spans="1:6" s="10" customFormat="1" x14ac:dyDescent="0.3">
      <c r="F99" s="9"/>
    </row>
    <row r="100" spans="1:6" s="10" customFormat="1" x14ac:dyDescent="0.3">
      <c r="F100" s="9"/>
    </row>
    <row r="101" spans="1:6" s="10" customFormat="1" x14ac:dyDescent="0.3">
      <c r="A101" s="9"/>
    </row>
    <row r="102" spans="1:6" s="10" customFormat="1" x14ac:dyDescent="0.3">
      <c r="A102" s="9"/>
    </row>
    <row r="103" spans="1:6" s="10" customFormat="1" x14ac:dyDescent="0.3">
      <c r="A103" s="9"/>
    </row>
    <row r="104" spans="1:6" s="10" customFormat="1" x14ac:dyDescent="0.3">
      <c r="F104" s="9"/>
    </row>
    <row r="105" spans="1:6" s="10" customFormat="1" x14ac:dyDescent="0.3">
      <c r="F105" s="9"/>
    </row>
    <row r="106" spans="1:6" s="10" customFormat="1" x14ac:dyDescent="0.3">
      <c r="F106" s="9"/>
    </row>
    <row r="107" spans="1:6" s="10" customFormat="1" x14ac:dyDescent="0.3">
      <c r="A107" s="9"/>
    </row>
    <row r="108" spans="1:6" s="10" customFormat="1" x14ac:dyDescent="0.3">
      <c r="F108" s="9"/>
    </row>
    <row r="109" spans="1:6" s="10" customFormat="1" x14ac:dyDescent="0.3">
      <c r="A109" s="9"/>
    </row>
    <row r="110" spans="1:6" s="10" customFormat="1" x14ac:dyDescent="0.3">
      <c r="F110" s="9"/>
    </row>
    <row r="111" spans="1:6" s="10" customFormat="1" x14ac:dyDescent="0.3">
      <c r="F111" s="9"/>
    </row>
    <row r="112" spans="1:6" s="10" customFormat="1" x14ac:dyDescent="0.3">
      <c r="F112" s="9"/>
    </row>
    <row r="113" spans="1:6" s="10" customFormat="1" x14ac:dyDescent="0.3">
      <c r="A113" s="9"/>
    </row>
    <row r="114" spans="1:6" s="10" customFormat="1" x14ac:dyDescent="0.3">
      <c r="A114" s="9"/>
    </row>
    <row r="115" spans="1:6" s="10" customFormat="1" x14ac:dyDescent="0.3">
      <c r="A115" s="9"/>
    </row>
    <row r="116" spans="1:6" s="10" customFormat="1" x14ac:dyDescent="0.3">
      <c r="A116" s="9"/>
    </row>
    <row r="117" spans="1:6" s="10" customFormat="1" x14ac:dyDescent="0.3">
      <c r="F117" s="9"/>
    </row>
    <row r="118" spans="1:6" s="10" customFormat="1" x14ac:dyDescent="0.3">
      <c r="F118" s="9"/>
    </row>
    <row r="119" spans="1:6" s="10" customFormat="1" x14ac:dyDescent="0.3">
      <c r="F119" s="9"/>
    </row>
    <row r="120" spans="1:6" s="10" customFormat="1" x14ac:dyDescent="0.3">
      <c r="F120" s="9"/>
    </row>
    <row r="121" spans="1:6" s="10" customFormat="1" x14ac:dyDescent="0.3">
      <c r="F121" s="9"/>
    </row>
    <row r="122" spans="1:6" s="10" customFormat="1" x14ac:dyDescent="0.3">
      <c r="F122" s="9"/>
    </row>
    <row r="123" spans="1:6" s="10" customFormat="1" x14ac:dyDescent="0.3">
      <c r="F123" s="9"/>
    </row>
    <row r="124" spans="1:6" s="10" customFormat="1" x14ac:dyDescent="0.3">
      <c r="F124" s="9"/>
    </row>
    <row r="125" spans="1:6" s="10" customFormat="1" x14ac:dyDescent="0.3">
      <c r="F125" s="9"/>
    </row>
    <row r="126" spans="1:6" s="10" customFormat="1" x14ac:dyDescent="0.3">
      <c r="A126" s="9"/>
    </row>
    <row r="127" spans="1:6" s="10" customFormat="1" x14ac:dyDescent="0.3">
      <c r="A127" s="9"/>
    </row>
    <row r="128" spans="1:6" s="10" customFormat="1" x14ac:dyDescent="0.3">
      <c r="F128" s="9"/>
    </row>
    <row r="129" spans="1:6" s="10" customFormat="1" x14ac:dyDescent="0.3">
      <c r="F129" s="9"/>
    </row>
    <row r="130" spans="1:6" s="10" customFormat="1" x14ac:dyDescent="0.3">
      <c r="F130" s="9"/>
    </row>
    <row r="131" spans="1:6" s="10" customFormat="1" x14ac:dyDescent="0.3">
      <c r="A131" s="9"/>
    </row>
    <row r="132" spans="1:6" s="10" customFormat="1" x14ac:dyDescent="0.3">
      <c r="A132" s="9"/>
    </row>
    <row r="133" spans="1:6" s="10" customFormat="1" x14ac:dyDescent="0.3">
      <c r="F133" s="9"/>
    </row>
    <row r="134" spans="1:6" s="10" customFormat="1" x14ac:dyDescent="0.3">
      <c r="F134" s="9"/>
    </row>
    <row r="135" spans="1:6" s="10" customFormat="1" x14ac:dyDescent="0.3">
      <c r="A135" s="9"/>
    </row>
    <row r="136" spans="1:6" s="10" customFormat="1" x14ac:dyDescent="0.3">
      <c r="A136" s="9"/>
    </row>
    <row r="137" spans="1:6" s="10" customFormat="1" x14ac:dyDescent="0.3"/>
    <row r="138" spans="1:6" s="10" customFormat="1" x14ac:dyDescent="0.3"/>
    <row r="139" spans="1:6" s="10" customFormat="1" x14ac:dyDescent="0.3"/>
    <row r="140" spans="1:6" s="10" customFormat="1" x14ac:dyDescent="0.3"/>
    <row r="141" spans="1:6" s="10" customFormat="1" x14ac:dyDescent="0.3"/>
    <row r="142" spans="1:6" s="10" customFormat="1" x14ac:dyDescent="0.3"/>
    <row r="143" spans="1:6" s="10" customFormat="1" x14ac:dyDescent="0.3"/>
    <row r="144" spans="1:6" s="10" customFormat="1" x14ac:dyDescent="0.3"/>
    <row r="145" s="10" customFormat="1" x14ac:dyDescent="0.3"/>
    <row r="146" s="10" customFormat="1" x14ac:dyDescent="0.3"/>
    <row r="147" s="10" customFormat="1" x14ac:dyDescent="0.3"/>
    <row r="148" s="10" customFormat="1" x14ac:dyDescent="0.3"/>
    <row r="149" s="10" customFormat="1" x14ac:dyDescent="0.3"/>
    <row r="150" s="10" customFormat="1" x14ac:dyDescent="0.3"/>
    <row r="151" s="10" customFormat="1" x14ac:dyDescent="0.3"/>
    <row r="152" s="10" customFormat="1" x14ac:dyDescent="0.3"/>
    <row r="153" s="10" customFormat="1" x14ac:dyDescent="0.3"/>
    <row r="154" s="10" customFormat="1" x14ac:dyDescent="0.3"/>
    <row r="155" s="10" customFormat="1" x14ac:dyDescent="0.3"/>
    <row r="156" s="10" customFormat="1" x14ac:dyDescent="0.3"/>
    <row r="157" s="10" customFormat="1" x14ac:dyDescent="0.3"/>
    <row r="158" s="10" customFormat="1" x14ac:dyDescent="0.3"/>
    <row r="159" s="10" customFormat="1" x14ac:dyDescent="0.3"/>
    <row r="160" s="10" customFormat="1" x14ac:dyDescent="0.3"/>
    <row r="161" spans="6:6" s="10" customFormat="1" x14ac:dyDescent="0.3"/>
    <row r="162" spans="6:6" s="10" customFormat="1" x14ac:dyDescent="0.3"/>
    <row r="163" spans="6:6" s="10" customFormat="1" x14ac:dyDescent="0.3"/>
    <row r="164" spans="6:6" s="10" customFormat="1" x14ac:dyDescent="0.3"/>
    <row r="165" spans="6:6" s="10" customFormat="1" x14ac:dyDescent="0.3"/>
    <row r="166" spans="6:6" s="10" customFormat="1" x14ac:dyDescent="0.3"/>
    <row r="167" spans="6:6" s="10" customFormat="1" x14ac:dyDescent="0.3"/>
    <row r="168" spans="6:6" s="10" customFormat="1" x14ac:dyDescent="0.3"/>
    <row r="169" spans="6:6" s="10" customFormat="1" x14ac:dyDescent="0.3"/>
    <row r="170" spans="6:6" s="10" customFormat="1" x14ac:dyDescent="0.3"/>
    <row r="171" spans="6:6" s="10" customFormat="1" x14ac:dyDescent="0.3"/>
    <row r="172" spans="6:6" s="10" customFormat="1" x14ac:dyDescent="0.3"/>
    <row r="173" spans="6:6" s="10" customFormat="1" x14ac:dyDescent="0.3"/>
    <row r="174" spans="6:6" s="10" customFormat="1" x14ac:dyDescent="0.3">
      <c r="F174" s="9"/>
    </row>
    <row r="175" spans="6:6" s="10" customFormat="1" x14ac:dyDescent="0.3">
      <c r="F175" s="9"/>
    </row>
    <row r="176" spans="6:6" s="10" customFormat="1" x14ac:dyDescent="0.3">
      <c r="F176" s="9"/>
    </row>
    <row r="177" spans="1:6" s="10" customFormat="1" x14ac:dyDescent="0.3">
      <c r="A177" s="9"/>
    </row>
    <row r="178" spans="1:6" s="10" customFormat="1" x14ac:dyDescent="0.3">
      <c r="A178" s="9"/>
    </row>
    <row r="179" spans="1:6" s="10" customFormat="1" x14ac:dyDescent="0.3">
      <c r="A179" s="9"/>
    </row>
    <row r="180" spans="1:6" s="10" customFormat="1" x14ac:dyDescent="0.3">
      <c r="A180" s="9"/>
    </row>
    <row r="181" spans="1:6" s="10" customFormat="1" x14ac:dyDescent="0.3">
      <c r="F181" s="9"/>
    </row>
    <row r="182" spans="1:6" s="10" customFormat="1" x14ac:dyDescent="0.3">
      <c r="F182" s="9"/>
    </row>
    <row r="183" spans="1:6" s="10" customFormat="1" x14ac:dyDescent="0.3">
      <c r="A183" s="9"/>
    </row>
    <row r="184" spans="1:6" s="10" customFormat="1" x14ac:dyDescent="0.3">
      <c r="A184" s="9"/>
    </row>
    <row r="185" spans="1:6" s="10" customFormat="1" x14ac:dyDescent="0.3">
      <c r="A185" s="9"/>
    </row>
    <row r="186" spans="1:6" s="10" customFormat="1" x14ac:dyDescent="0.3">
      <c r="A186" s="9"/>
    </row>
    <row r="187" spans="1:6" s="10" customFormat="1" x14ac:dyDescent="0.3">
      <c r="A187" s="9"/>
    </row>
    <row r="188" spans="1:6" s="10" customFormat="1" x14ac:dyDescent="0.3">
      <c r="A188" s="9"/>
    </row>
    <row r="189" spans="1:6" s="10" customFormat="1" x14ac:dyDescent="0.3">
      <c r="A189" s="9"/>
    </row>
    <row r="190" spans="1:6" s="10" customFormat="1" x14ac:dyDescent="0.3">
      <c r="A190" s="9"/>
    </row>
    <row r="191" spans="1:6" s="10" customFormat="1" x14ac:dyDescent="0.3">
      <c r="A191" s="9"/>
    </row>
    <row r="192" spans="1:6" s="10" customFormat="1" x14ac:dyDescent="0.3">
      <c r="A192" s="9"/>
    </row>
    <row r="193" spans="1:1" s="10" customFormat="1" x14ac:dyDescent="0.3">
      <c r="A193" s="9"/>
    </row>
    <row r="194" spans="1:1" s="10" customFormat="1" x14ac:dyDescent="0.3">
      <c r="A194" s="9"/>
    </row>
    <row r="195" spans="1:1" s="10" customFormat="1" x14ac:dyDescent="0.3">
      <c r="A195" s="9"/>
    </row>
    <row r="196" spans="1:1" s="10" customFormat="1" x14ac:dyDescent="0.3">
      <c r="A196" s="9"/>
    </row>
    <row r="197" spans="1:1" s="10" customFormat="1" x14ac:dyDescent="0.3">
      <c r="A197" s="9"/>
    </row>
    <row r="198" spans="1:1" s="10" customFormat="1" x14ac:dyDescent="0.3">
      <c r="A198" s="9"/>
    </row>
    <row r="199" spans="1:1" s="10" customFormat="1" x14ac:dyDescent="0.3">
      <c r="A199" s="9"/>
    </row>
    <row r="200" spans="1:1" s="10" customFormat="1" x14ac:dyDescent="0.3">
      <c r="A200" s="9"/>
    </row>
    <row r="201" spans="1:1" s="10" customFormat="1" x14ac:dyDescent="0.3">
      <c r="A201" s="9"/>
    </row>
    <row r="202" spans="1:1" s="10" customFormat="1" x14ac:dyDescent="0.3">
      <c r="A202" s="9"/>
    </row>
    <row r="203" spans="1:1" s="10" customFormat="1" x14ac:dyDescent="0.3">
      <c r="A203" s="9"/>
    </row>
    <row r="204" spans="1:1" s="10" customFormat="1" x14ac:dyDescent="0.3">
      <c r="A204" s="9"/>
    </row>
    <row r="205" spans="1:1" s="10" customFormat="1" x14ac:dyDescent="0.3">
      <c r="A205" s="9"/>
    </row>
    <row r="206" spans="1:1" s="10" customFormat="1" x14ac:dyDescent="0.3">
      <c r="A206" s="9"/>
    </row>
    <row r="207" spans="1:1" s="10" customFormat="1" x14ac:dyDescent="0.3">
      <c r="A207" s="9"/>
    </row>
    <row r="208" spans="1:1" s="10" customFormat="1" x14ac:dyDescent="0.3">
      <c r="A208" s="9"/>
    </row>
    <row r="209" spans="1:6" s="10" customFormat="1" x14ac:dyDescent="0.3">
      <c r="A209" s="9"/>
    </row>
    <row r="210" spans="1:6" s="10" customFormat="1" x14ac:dyDescent="0.3">
      <c r="A210" s="9"/>
    </row>
    <row r="211" spans="1:6" s="10" customFormat="1" x14ac:dyDescent="0.3">
      <c r="A211" s="9"/>
    </row>
    <row r="212" spans="1:6" s="10" customFormat="1" x14ac:dyDescent="0.3">
      <c r="A212" s="9"/>
    </row>
    <row r="213" spans="1:6" s="10" customFormat="1" x14ac:dyDescent="0.3">
      <c r="A213" s="9"/>
    </row>
    <row r="214" spans="1:6" s="10" customFormat="1" x14ac:dyDescent="0.3">
      <c r="A214" s="9"/>
    </row>
    <row r="215" spans="1:6" s="10" customFormat="1" x14ac:dyDescent="0.3">
      <c r="A215" s="9"/>
    </row>
    <row r="216" spans="1:6" s="10" customFormat="1" x14ac:dyDescent="0.3">
      <c r="A216" s="9"/>
    </row>
    <row r="217" spans="1:6" s="10" customFormat="1" x14ac:dyDescent="0.3">
      <c r="A217" s="9"/>
    </row>
    <row r="218" spans="1:6" s="10" customFormat="1" x14ac:dyDescent="0.3">
      <c r="F218" s="9"/>
    </row>
    <row r="219" spans="1:6" s="10" customFormat="1" x14ac:dyDescent="0.3">
      <c r="A219" s="9"/>
    </row>
    <row r="220" spans="1:6" s="10" customFormat="1" x14ac:dyDescent="0.3">
      <c r="F220" s="9"/>
    </row>
    <row r="221" spans="1:6" s="10" customFormat="1" x14ac:dyDescent="0.3">
      <c r="F221" s="9"/>
    </row>
    <row r="222" spans="1:6" s="10" customFormat="1" x14ac:dyDescent="0.3">
      <c r="F222" s="9"/>
    </row>
    <row r="223" spans="1:6" s="10" customFormat="1" x14ac:dyDescent="0.3">
      <c r="F223" s="9"/>
    </row>
    <row r="224" spans="1:6" s="10" customFormat="1" x14ac:dyDescent="0.3">
      <c r="F224" s="9"/>
    </row>
    <row r="225" spans="1:6" s="10" customFormat="1" x14ac:dyDescent="0.3">
      <c r="A225" s="9"/>
    </row>
    <row r="226" spans="1:6" s="10" customFormat="1" x14ac:dyDescent="0.3">
      <c r="A226" s="9"/>
    </row>
    <row r="227" spans="1:6" s="10" customFormat="1" x14ac:dyDescent="0.3">
      <c r="F227" s="9"/>
    </row>
    <row r="228" spans="1:6" s="10" customFormat="1" x14ac:dyDescent="0.3">
      <c r="A228" s="9"/>
    </row>
    <row r="229" spans="1:6" s="10" customFormat="1" x14ac:dyDescent="0.3">
      <c r="A229" s="9"/>
    </row>
    <row r="230" spans="1:6" s="10" customFormat="1" x14ac:dyDescent="0.3">
      <c r="F230" s="9"/>
    </row>
    <row r="231" spans="1:6" s="10" customFormat="1" x14ac:dyDescent="0.3">
      <c r="F231" s="9"/>
    </row>
    <row r="232" spans="1:6" s="10" customFormat="1" x14ac:dyDescent="0.3">
      <c r="F232" s="9"/>
    </row>
    <row r="233" spans="1:6" s="10" customFormat="1" x14ac:dyDescent="0.3">
      <c r="F233" s="9"/>
    </row>
    <row r="234" spans="1:6" s="10" customFormat="1" x14ac:dyDescent="0.3">
      <c r="A234" s="9"/>
    </row>
    <row r="235" spans="1:6" s="10" customFormat="1" x14ac:dyDescent="0.3">
      <c r="A235" s="9"/>
    </row>
    <row r="236" spans="1:6" s="10" customFormat="1" x14ac:dyDescent="0.3">
      <c r="A236" s="9"/>
    </row>
    <row r="237" spans="1:6" s="10" customFormat="1" x14ac:dyDescent="0.3">
      <c r="A237" s="9"/>
    </row>
    <row r="238" spans="1:6" s="10" customFormat="1" x14ac:dyDescent="0.3">
      <c r="A238" s="9"/>
    </row>
    <row r="239" spans="1:6" s="10" customFormat="1" x14ac:dyDescent="0.3">
      <c r="F239" s="9"/>
    </row>
    <row r="240" spans="1:6" s="10" customFormat="1" x14ac:dyDescent="0.3">
      <c r="F240" s="9"/>
    </row>
    <row r="241" spans="1:6" s="10" customFormat="1" x14ac:dyDescent="0.3">
      <c r="F241" s="9"/>
    </row>
    <row r="242" spans="1:6" s="10" customFormat="1" x14ac:dyDescent="0.3">
      <c r="A242" s="9"/>
    </row>
    <row r="243" spans="1:6" s="10" customFormat="1" x14ac:dyDescent="0.3">
      <c r="A243" s="9"/>
    </row>
    <row r="244" spans="1:6" s="10" customFormat="1" x14ac:dyDescent="0.3">
      <c r="F244" s="9"/>
    </row>
    <row r="245" spans="1:6" s="10" customFormat="1" x14ac:dyDescent="0.3">
      <c r="A245" s="9"/>
    </row>
    <row r="246" spans="1:6" s="10" customFormat="1" x14ac:dyDescent="0.3">
      <c r="A246" s="9"/>
    </row>
    <row r="247" spans="1:6" s="10" customFormat="1" x14ac:dyDescent="0.3">
      <c r="F247" s="9"/>
    </row>
    <row r="248" spans="1:6" s="10" customFormat="1" x14ac:dyDescent="0.3">
      <c r="F248" s="9"/>
    </row>
    <row r="249" spans="1:6" s="10" customFormat="1" x14ac:dyDescent="0.3">
      <c r="F249" s="9"/>
    </row>
    <row r="250" spans="1:6" s="10" customFormat="1" x14ac:dyDescent="0.3">
      <c r="A250" s="9"/>
    </row>
    <row r="251" spans="1:6" s="10" customFormat="1" x14ac:dyDescent="0.3">
      <c r="A251" s="9"/>
    </row>
    <row r="252" spans="1:6" s="10" customFormat="1" x14ac:dyDescent="0.3">
      <c r="F252" s="9"/>
    </row>
    <row r="253" spans="1:6" s="10" customFormat="1" x14ac:dyDescent="0.3">
      <c r="A253" s="9"/>
    </row>
    <row r="254" spans="1:6" s="10" customFormat="1" x14ac:dyDescent="0.3">
      <c r="A254" s="9"/>
    </row>
    <row r="255" spans="1:6" s="10" customFormat="1" x14ac:dyDescent="0.3">
      <c r="A255" s="9"/>
    </row>
    <row r="256" spans="1:6" s="10" customFormat="1" x14ac:dyDescent="0.3">
      <c r="A256" s="9"/>
    </row>
    <row r="257" spans="1:6" s="10" customFormat="1" x14ac:dyDescent="0.3">
      <c r="A257" s="9"/>
    </row>
    <row r="258" spans="1:6" s="10" customFormat="1" x14ac:dyDescent="0.3">
      <c r="A258" s="9"/>
    </row>
    <row r="259" spans="1:6" s="10" customFormat="1" x14ac:dyDescent="0.3">
      <c r="A259" s="9"/>
    </row>
    <row r="260" spans="1:6" s="10" customFormat="1" x14ac:dyDescent="0.3">
      <c r="A260" s="9"/>
    </row>
    <row r="261" spans="1:6" s="10" customFormat="1" x14ac:dyDescent="0.3">
      <c r="A261" s="9"/>
    </row>
    <row r="262" spans="1:6" s="10" customFormat="1" x14ac:dyDescent="0.3">
      <c r="A262" s="9"/>
    </row>
    <row r="263" spans="1:6" s="10" customFormat="1" x14ac:dyDescent="0.3">
      <c r="F263" s="9"/>
    </row>
    <row r="264" spans="1:6" s="10" customFormat="1" x14ac:dyDescent="0.3">
      <c r="F264" s="9"/>
    </row>
    <row r="265" spans="1:6" s="10" customFormat="1" x14ac:dyDescent="0.3">
      <c r="A265" s="9"/>
    </row>
    <row r="266" spans="1:6" s="10" customFormat="1" x14ac:dyDescent="0.3">
      <c r="A266" s="9"/>
    </row>
    <row r="267" spans="1:6" s="10" customFormat="1" x14ac:dyDescent="0.3">
      <c r="A267" s="9"/>
    </row>
    <row r="268" spans="1:6" s="10" customFormat="1" x14ac:dyDescent="0.3">
      <c r="A268" s="9"/>
    </row>
    <row r="269" spans="1:6" s="10" customFormat="1" x14ac:dyDescent="0.3">
      <c r="F269" s="9"/>
    </row>
    <row r="270" spans="1:6" s="10" customFormat="1" x14ac:dyDescent="0.3">
      <c r="F270" s="9"/>
    </row>
    <row r="271" spans="1:6" s="10" customFormat="1" x14ac:dyDescent="0.3">
      <c r="F271" s="9"/>
    </row>
    <row r="272" spans="1:6" s="10" customFormat="1" x14ac:dyDescent="0.3">
      <c r="A272" s="9"/>
    </row>
    <row r="273" spans="1:6" s="10" customFormat="1" x14ac:dyDescent="0.3">
      <c r="A273" s="9"/>
    </row>
    <row r="274" spans="1:6" s="10" customFormat="1" x14ac:dyDescent="0.3">
      <c r="A274" s="9"/>
    </row>
    <row r="275" spans="1:6" s="10" customFormat="1" x14ac:dyDescent="0.3">
      <c r="F275" s="9"/>
    </row>
    <row r="276" spans="1:6" s="10" customFormat="1" x14ac:dyDescent="0.3">
      <c r="F276" s="9"/>
    </row>
    <row r="277" spans="1:6" s="10" customFormat="1" x14ac:dyDescent="0.3">
      <c r="F277" s="9"/>
    </row>
    <row r="278" spans="1:6" s="10" customFormat="1" x14ac:dyDescent="0.3">
      <c r="F278" s="9"/>
    </row>
    <row r="279" spans="1:6" s="10" customFormat="1" x14ac:dyDescent="0.3">
      <c r="F279" s="9"/>
    </row>
    <row r="280" spans="1:6" s="10" customFormat="1" x14ac:dyDescent="0.3">
      <c r="F280" s="9"/>
    </row>
    <row r="281" spans="1:6" s="10" customFormat="1" x14ac:dyDescent="0.3">
      <c r="F281" s="9"/>
    </row>
    <row r="282" spans="1:6" s="10" customFormat="1" x14ac:dyDescent="0.3">
      <c r="F282" s="9"/>
    </row>
    <row r="283" spans="1:6" s="10" customFormat="1" x14ac:dyDescent="0.3">
      <c r="A283" s="9"/>
    </row>
    <row r="284" spans="1:6" s="10" customFormat="1" x14ac:dyDescent="0.3">
      <c r="F284" s="9"/>
    </row>
    <row r="285" spans="1:6" s="10" customFormat="1" x14ac:dyDescent="0.3">
      <c r="F285" s="9"/>
    </row>
    <row r="286" spans="1:6" s="10" customFormat="1" x14ac:dyDescent="0.3">
      <c r="F286" s="9"/>
    </row>
    <row r="287" spans="1:6" s="10" customFormat="1" x14ac:dyDescent="0.3">
      <c r="A287" s="9"/>
    </row>
    <row r="288" spans="1:6" s="10" customFormat="1" x14ac:dyDescent="0.3">
      <c r="F288" s="9"/>
    </row>
    <row r="289" spans="1:6" s="10" customFormat="1" x14ac:dyDescent="0.3">
      <c r="F289" s="9"/>
    </row>
    <row r="290" spans="1:6" s="10" customFormat="1" x14ac:dyDescent="0.3">
      <c r="F290" s="9"/>
    </row>
    <row r="291" spans="1:6" s="10" customFormat="1" x14ac:dyDescent="0.3">
      <c r="A291" s="9"/>
    </row>
    <row r="292" spans="1:6" s="10" customFormat="1" x14ac:dyDescent="0.3">
      <c r="A292" s="9"/>
    </row>
    <row r="293" spans="1:6" s="10" customFormat="1" x14ac:dyDescent="0.3">
      <c r="F293" s="9"/>
    </row>
    <row r="294" spans="1:6" s="10" customFormat="1" x14ac:dyDescent="0.3">
      <c r="A294" s="9"/>
    </row>
    <row r="295" spans="1:6" s="10" customFormat="1" x14ac:dyDescent="0.3">
      <c r="A295" s="9"/>
    </row>
    <row r="296" spans="1:6" s="10" customFormat="1" x14ac:dyDescent="0.3">
      <c r="F296" s="9"/>
    </row>
    <row r="297" spans="1:6" s="10" customFormat="1" x14ac:dyDescent="0.3">
      <c r="F297" s="9"/>
    </row>
    <row r="298" spans="1:6" s="10" customFormat="1" x14ac:dyDescent="0.3">
      <c r="A298" s="9"/>
    </row>
    <row r="299" spans="1:6" s="10" customFormat="1" x14ac:dyDescent="0.3">
      <c r="A299" s="9"/>
    </row>
    <row r="300" spans="1:6" s="10" customFormat="1" x14ac:dyDescent="0.3">
      <c r="F300" s="9"/>
    </row>
    <row r="301" spans="1:6" s="10" customFormat="1" x14ac:dyDescent="0.3">
      <c r="A301" s="9"/>
    </row>
    <row r="302" spans="1:6" s="10" customFormat="1" x14ac:dyDescent="0.3">
      <c r="A302" s="9"/>
    </row>
    <row r="303" spans="1:6" s="10" customFormat="1" x14ac:dyDescent="0.3">
      <c r="A303" s="9"/>
    </row>
    <row r="304" spans="1:6" s="10" customFormat="1" x14ac:dyDescent="0.3">
      <c r="F304" s="9"/>
    </row>
    <row r="305" spans="1:6" s="10" customFormat="1" x14ac:dyDescent="0.3">
      <c r="F305" s="9"/>
    </row>
    <row r="306" spans="1:6" s="10" customFormat="1" x14ac:dyDescent="0.3">
      <c r="A306" s="9"/>
    </row>
    <row r="307" spans="1:6" s="10" customFormat="1" x14ac:dyDescent="0.3">
      <c r="A307" s="9"/>
    </row>
    <row r="308" spans="1:6" s="10" customFormat="1" x14ac:dyDescent="0.3">
      <c r="A308" s="9"/>
    </row>
    <row r="309" spans="1:6" s="10" customFormat="1" x14ac:dyDescent="0.3">
      <c r="F309" s="9"/>
    </row>
    <row r="310" spans="1:6" s="10" customFormat="1" x14ac:dyDescent="0.3">
      <c r="F310" s="9"/>
    </row>
    <row r="311" spans="1:6" s="10" customFormat="1" x14ac:dyDescent="0.3">
      <c r="F311" s="9"/>
    </row>
    <row r="312" spans="1:6" s="10" customFormat="1" x14ac:dyDescent="0.3">
      <c r="F312" s="9"/>
    </row>
    <row r="313" spans="1:6" s="10" customFormat="1" x14ac:dyDescent="0.3">
      <c r="A313" s="9"/>
    </row>
    <row r="314" spans="1:6" s="10" customFormat="1" x14ac:dyDescent="0.3">
      <c r="A314" s="9"/>
    </row>
    <row r="315" spans="1:6" s="10" customFormat="1" x14ac:dyDescent="0.3">
      <c r="A315" s="9"/>
    </row>
    <row r="316" spans="1:6" s="10" customFormat="1" x14ac:dyDescent="0.3">
      <c r="F316" s="9"/>
    </row>
    <row r="317" spans="1:6" s="10" customFormat="1" x14ac:dyDescent="0.3">
      <c r="F317" s="9"/>
    </row>
    <row r="318" spans="1:6" s="10" customFormat="1" x14ac:dyDescent="0.3">
      <c r="F318" s="9"/>
    </row>
    <row r="319" spans="1:6" s="10" customFormat="1" x14ac:dyDescent="0.3">
      <c r="A319" s="9"/>
    </row>
    <row r="320" spans="1:6" s="10" customFormat="1" x14ac:dyDescent="0.3">
      <c r="A320" s="9"/>
    </row>
    <row r="321" spans="1:6" s="10" customFormat="1" x14ac:dyDescent="0.3">
      <c r="A321" s="9"/>
    </row>
    <row r="322" spans="1:6" s="10" customFormat="1" x14ac:dyDescent="0.3">
      <c r="A322" s="9"/>
    </row>
    <row r="323" spans="1:6" s="10" customFormat="1" x14ac:dyDescent="0.3">
      <c r="A323" s="9"/>
    </row>
    <row r="324" spans="1:6" s="10" customFormat="1" x14ac:dyDescent="0.3">
      <c r="A324" s="9"/>
    </row>
    <row r="325" spans="1:6" s="10" customFormat="1" x14ac:dyDescent="0.3">
      <c r="A325" s="9"/>
    </row>
    <row r="326" spans="1:6" s="10" customFormat="1" x14ac:dyDescent="0.3">
      <c r="A326" s="9"/>
    </row>
    <row r="327" spans="1:6" s="10" customFormat="1" x14ac:dyDescent="0.3">
      <c r="A327" s="9"/>
    </row>
    <row r="328" spans="1:6" s="10" customFormat="1" x14ac:dyDescent="0.3">
      <c r="F328" s="9"/>
    </row>
    <row r="329" spans="1:6" s="10" customFormat="1" x14ac:dyDescent="0.3">
      <c r="F329" s="9"/>
    </row>
    <row r="330" spans="1:6" s="10" customFormat="1" x14ac:dyDescent="0.3">
      <c r="F330" s="9"/>
    </row>
    <row r="331" spans="1:6" s="10" customFormat="1" x14ac:dyDescent="0.3">
      <c r="A331" s="9"/>
    </row>
    <row r="332" spans="1:6" s="10" customFormat="1" x14ac:dyDescent="0.3">
      <c r="A332" s="9"/>
    </row>
    <row r="333" spans="1:6" s="10" customFormat="1" x14ac:dyDescent="0.3">
      <c r="A333" s="9"/>
    </row>
    <row r="334" spans="1:6" s="10" customFormat="1" x14ac:dyDescent="0.3">
      <c r="A334" s="9"/>
    </row>
    <row r="335" spans="1:6" s="10" customFormat="1" x14ac:dyDescent="0.3">
      <c r="F335" s="9"/>
    </row>
    <row r="336" spans="1:6" s="10" customFormat="1" x14ac:dyDescent="0.3">
      <c r="F336" s="9"/>
    </row>
    <row r="337" spans="1:6" s="10" customFormat="1" x14ac:dyDescent="0.3">
      <c r="F337" s="9"/>
    </row>
    <row r="338" spans="1:6" s="10" customFormat="1" x14ac:dyDescent="0.3">
      <c r="A338" s="9"/>
    </row>
    <row r="339" spans="1:6" s="10" customFormat="1" x14ac:dyDescent="0.3">
      <c r="A339" s="9"/>
    </row>
    <row r="340" spans="1:6" s="10" customFormat="1" x14ac:dyDescent="0.3">
      <c r="A340" s="9"/>
    </row>
    <row r="341" spans="1:6" s="10" customFormat="1" x14ac:dyDescent="0.3">
      <c r="A341" s="9"/>
    </row>
    <row r="342" spans="1:6" s="10" customFormat="1" x14ac:dyDescent="0.3">
      <c r="A342" s="9"/>
    </row>
    <row r="343" spans="1:6" s="10" customFormat="1" x14ac:dyDescent="0.3">
      <c r="A343" s="9"/>
    </row>
    <row r="344" spans="1:6" s="10" customFormat="1" x14ac:dyDescent="0.3">
      <c r="F344" s="9"/>
    </row>
    <row r="345" spans="1:6" s="10" customFormat="1" x14ac:dyDescent="0.3">
      <c r="F345" s="9"/>
    </row>
    <row r="346" spans="1:6" s="10" customFormat="1" x14ac:dyDescent="0.3">
      <c r="A346" s="9"/>
    </row>
    <row r="347" spans="1:6" s="10" customFormat="1" x14ac:dyDescent="0.3">
      <c r="A347" s="9"/>
    </row>
    <row r="348" spans="1:6" s="10" customFormat="1" x14ac:dyDescent="0.3">
      <c r="A348" s="9"/>
    </row>
    <row r="349" spans="1:6" s="10" customFormat="1" x14ac:dyDescent="0.3">
      <c r="F349" s="9"/>
    </row>
    <row r="350" spans="1:6" s="10" customFormat="1" x14ac:dyDescent="0.3">
      <c r="A350" s="9"/>
    </row>
    <row r="351" spans="1:6" s="10" customFormat="1" x14ac:dyDescent="0.3">
      <c r="F351" s="9"/>
    </row>
    <row r="352" spans="1:6" s="10" customFormat="1" x14ac:dyDescent="0.3">
      <c r="F352" s="9"/>
    </row>
    <row r="353" spans="1:6" s="10" customFormat="1" x14ac:dyDescent="0.3">
      <c r="A353" s="9"/>
    </row>
    <row r="354" spans="1:6" s="10" customFormat="1" x14ac:dyDescent="0.3">
      <c r="A354" s="9"/>
    </row>
    <row r="355" spans="1:6" s="10" customFormat="1" x14ac:dyDescent="0.3">
      <c r="A355" s="9"/>
    </row>
    <row r="356" spans="1:6" s="10" customFormat="1" x14ac:dyDescent="0.3">
      <c r="F356" s="9"/>
    </row>
    <row r="357" spans="1:6" s="10" customFormat="1" x14ac:dyDescent="0.3">
      <c r="F357" s="9"/>
    </row>
    <row r="358" spans="1:6" s="10" customFormat="1" x14ac:dyDescent="0.3">
      <c r="F358" s="9"/>
    </row>
    <row r="359" spans="1:6" s="10" customFormat="1" x14ac:dyDescent="0.3">
      <c r="A359" s="9"/>
    </row>
    <row r="360" spans="1:6" s="10" customFormat="1" x14ac:dyDescent="0.3">
      <c r="A360" s="9"/>
    </row>
    <row r="361" spans="1:6" s="10" customFormat="1" x14ac:dyDescent="0.3">
      <c r="F361" s="9"/>
    </row>
    <row r="362" spans="1:6" s="10" customFormat="1" x14ac:dyDescent="0.3">
      <c r="A362" s="9"/>
    </row>
    <row r="363" spans="1:6" s="10" customFormat="1" x14ac:dyDescent="0.3">
      <c r="F363" s="9"/>
    </row>
    <row r="364" spans="1:6" s="10" customFormat="1" x14ac:dyDescent="0.3">
      <c r="F364" s="9"/>
    </row>
    <row r="365" spans="1:6" s="10" customFormat="1" x14ac:dyDescent="0.3">
      <c r="A365" s="9"/>
    </row>
    <row r="366" spans="1:6" s="10" customFormat="1" x14ac:dyDescent="0.3">
      <c r="A366" s="9"/>
    </row>
    <row r="367" spans="1:6" s="10" customFormat="1" x14ac:dyDescent="0.3">
      <c r="A367" s="9"/>
    </row>
    <row r="368" spans="1:6" s="10" customFormat="1" x14ac:dyDescent="0.3">
      <c r="F368" s="9"/>
    </row>
    <row r="369" spans="1:6" s="10" customFormat="1" x14ac:dyDescent="0.3">
      <c r="F369" s="9"/>
    </row>
    <row r="370" spans="1:6" s="10" customFormat="1" x14ac:dyDescent="0.3">
      <c r="F370" s="9"/>
    </row>
    <row r="371" spans="1:6" s="10" customFormat="1" x14ac:dyDescent="0.3">
      <c r="A371" s="9"/>
    </row>
    <row r="372" spans="1:6" s="10" customFormat="1" x14ac:dyDescent="0.3">
      <c r="A372" s="9"/>
    </row>
    <row r="373" spans="1:6" s="10" customFormat="1" x14ac:dyDescent="0.3">
      <c r="A373" s="9"/>
    </row>
    <row r="374" spans="1:6" s="10" customFormat="1" x14ac:dyDescent="0.3">
      <c r="F374" s="9"/>
    </row>
    <row r="375" spans="1:6" s="10" customFormat="1" x14ac:dyDescent="0.3">
      <c r="F375" s="9"/>
    </row>
    <row r="376" spans="1:6" s="10" customFormat="1" x14ac:dyDescent="0.3">
      <c r="F376" s="9"/>
    </row>
    <row r="377" spans="1:6" s="10" customFormat="1" x14ac:dyDescent="0.3">
      <c r="A377" s="9"/>
    </row>
    <row r="378" spans="1:6" s="10" customFormat="1" x14ac:dyDescent="0.3">
      <c r="A378" s="9"/>
    </row>
    <row r="379" spans="1:6" s="10" customFormat="1" x14ac:dyDescent="0.3">
      <c r="A379" s="9"/>
    </row>
    <row r="380" spans="1:6" s="10" customFormat="1" x14ac:dyDescent="0.3">
      <c r="F380" s="9"/>
    </row>
    <row r="381" spans="1:6" s="10" customFormat="1" x14ac:dyDescent="0.3">
      <c r="F381" s="9"/>
    </row>
    <row r="382" spans="1:6" s="10" customFormat="1" x14ac:dyDescent="0.3">
      <c r="A382" s="9"/>
    </row>
    <row r="383" spans="1:6" s="10" customFormat="1" x14ac:dyDescent="0.3">
      <c r="F383" s="9"/>
    </row>
    <row r="384" spans="1:6" s="10" customFormat="1" x14ac:dyDescent="0.3">
      <c r="A384" s="9"/>
    </row>
    <row r="385" spans="1:6" s="10" customFormat="1" x14ac:dyDescent="0.3">
      <c r="F385" s="9"/>
    </row>
    <row r="386" spans="1:6" s="10" customFormat="1" x14ac:dyDescent="0.3">
      <c r="F386" s="9"/>
    </row>
    <row r="387" spans="1:6" s="10" customFormat="1" x14ac:dyDescent="0.3">
      <c r="F387" s="9"/>
    </row>
    <row r="388" spans="1:6" s="10" customFormat="1" x14ac:dyDescent="0.3">
      <c r="A388" s="9"/>
    </row>
    <row r="389" spans="1:6" s="10" customFormat="1" x14ac:dyDescent="0.3">
      <c r="A389" s="9"/>
    </row>
    <row r="390" spans="1:6" s="10" customFormat="1" x14ac:dyDescent="0.3">
      <c r="F390" s="9"/>
    </row>
    <row r="391" spans="1:6" s="10" customFormat="1" x14ac:dyDescent="0.3">
      <c r="A391" s="9"/>
    </row>
    <row r="392" spans="1:6" s="10" customFormat="1" x14ac:dyDescent="0.3">
      <c r="A392" s="9"/>
    </row>
    <row r="393" spans="1:6" s="10" customFormat="1" x14ac:dyDescent="0.3">
      <c r="F393" s="9"/>
    </row>
    <row r="394" spans="1:6" s="10" customFormat="1" x14ac:dyDescent="0.3">
      <c r="A394" s="9"/>
    </row>
    <row r="395" spans="1:6" s="10" customFormat="1" x14ac:dyDescent="0.3">
      <c r="A395" s="9"/>
    </row>
    <row r="396" spans="1:6" s="10" customFormat="1" x14ac:dyDescent="0.3">
      <c r="A396" s="9"/>
    </row>
    <row r="397" spans="1:6" s="10" customFormat="1" x14ac:dyDescent="0.3">
      <c r="F397" s="9"/>
    </row>
    <row r="398" spans="1:6" s="10" customFormat="1" x14ac:dyDescent="0.3">
      <c r="F398" s="9"/>
    </row>
    <row r="399" spans="1:6" s="10" customFormat="1" x14ac:dyDescent="0.3">
      <c r="F399" s="9"/>
    </row>
    <row r="400" spans="1:6" s="10" customFormat="1" x14ac:dyDescent="0.3">
      <c r="A400" s="9"/>
    </row>
    <row r="401" spans="1:6" s="10" customFormat="1" x14ac:dyDescent="0.3">
      <c r="A401" s="9"/>
    </row>
    <row r="402" spans="1:6" s="10" customFormat="1" x14ac:dyDescent="0.3">
      <c r="A402" s="9"/>
    </row>
    <row r="403" spans="1:6" s="10" customFormat="1" x14ac:dyDescent="0.3">
      <c r="F403" s="9"/>
    </row>
    <row r="404" spans="1:6" s="10" customFormat="1" x14ac:dyDescent="0.3">
      <c r="F404" s="9"/>
    </row>
    <row r="405" spans="1:6" s="10" customFormat="1" x14ac:dyDescent="0.3">
      <c r="F405" s="9"/>
    </row>
    <row r="406" spans="1:6" s="10" customFormat="1" x14ac:dyDescent="0.3">
      <c r="A406" s="9"/>
    </row>
    <row r="407" spans="1:6" s="10" customFormat="1" x14ac:dyDescent="0.3">
      <c r="A407" s="9"/>
    </row>
    <row r="408" spans="1:6" s="10" customFormat="1" x14ac:dyDescent="0.3">
      <c r="F408" s="9"/>
    </row>
    <row r="409" spans="1:6" s="10" customFormat="1" x14ac:dyDescent="0.3">
      <c r="F409" s="9"/>
    </row>
    <row r="410" spans="1:6" s="10" customFormat="1" x14ac:dyDescent="0.3">
      <c r="F410" s="9"/>
    </row>
    <row r="411" spans="1:6" s="10" customFormat="1" x14ac:dyDescent="0.3">
      <c r="F411" s="9"/>
    </row>
    <row r="412" spans="1:6" s="10" customFormat="1" x14ac:dyDescent="0.3">
      <c r="A412" s="9"/>
    </row>
    <row r="413" spans="1:6" s="10" customFormat="1" x14ac:dyDescent="0.3">
      <c r="F413" s="9"/>
    </row>
    <row r="414" spans="1:6" s="10" customFormat="1" x14ac:dyDescent="0.3">
      <c r="F414" s="9"/>
    </row>
    <row r="415" spans="1:6" s="10" customFormat="1" x14ac:dyDescent="0.3">
      <c r="F415" s="9"/>
    </row>
    <row r="416" spans="1:6" s="10" customFormat="1" x14ac:dyDescent="0.3">
      <c r="F416" s="9"/>
    </row>
    <row r="417" spans="1:6" s="10" customFormat="1" x14ac:dyDescent="0.3">
      <c r="F417" s="9"/>
    </row>
    <row r="418" spans="1:6" s="10" customFormat="1" x14ac:dyDescent="0.3">
      <c r="A418" s="9"/>
    </row>
    <row r="419" spans="1:6" s="10" customFormat="1" x14ac:dyDescent="0.3">
      <c r="F419" s="9"/>
    </row>
    <row r="420" spans="1:6" s="10" customFormat="1" x14ac:dyDescent="0.3">
      <c r="F420" s="9"/>
    </row>
    <row r="421" spans="1:6" s="10" customFormat="1" x14ac:dyDescent="0.3">
      <c r="A421" s="9"/>
    </row>
    <row r="422" spans="1:6" s="10" customFormat="1" x14ac:dyDescent="0.3">
      <c r="A422" s="9"/>
    </row>
    <row r="423" spans="1:6" s="10" customFormat="1" x14ac:dyDescent="0.3">
      <c r="F423" s="9"/>
    </row>
    <row r="424" spans="1:6" s="10" customFormat="1" x14ac:dyDescent="0.3">
      <c r="A424" s="9"/>
    </row>
    <row r="425" spans="1:6" s="10" customFormat="1" x14ac:dyDescent="0.3">
      <c r="F425" s="9"/>
    </row>
    <row r="426" spans="1:6" s="10" customFormat="1" x14ac:dyDescent="0.3">
      <c r="A426" s="9"/>
    </row>
    <row r="427" spans="1:6" s="10" customFormat="1" x14ac:dyDescent="0.3">
      <c r="F427" s="9"/>
    </row>
    <row r="428" spans="1:6" s="10" customFormat="1" x14ac:dyDescent="0.3">
      <c r="A428" s="9"/>
    </row>
    <row r="429" spans="1:6" s="10" customFormat="1" x14ac:dyDescent="0.3">
      <c r="F429" s="9"/>
    </row>
    <row r="430" spans="1:6" s="10" customFormat="1" x14ac:dyDescent="0.3">
      <c r="A430" s="9"/>
    </row>
    <row r="431" spans="1:6" s="10" customFormat="1" x14ac:dyDescent="0.3">
      <c r="F431" s="9"/>
    </row>
    <row r="432" spans="1:6" s="10" customFormat="1" x14ac:dyDescent="0.3">
      <c r="A432" s="9"/>
    </row>
    <row r="433" spans="1:6" s="10" customFormat="1" x14ac:dyDescent="0.3">
      <c r="F433" s="9"/>
    </row>
    <row r="434" spans="1:6" s="10" customFormat="1" x14ac:dyDescent="0.3">
      <c r="F434" s="9"/>
    </row>
    <row r="435" spans="1:6" s="10" customFormat="1" x14ac:dyDescent="0.3">
      <c r="A435" s="9"/>
    </row>
    <row r="436" spans="1:6" s="10" customFormat="1" x14ac:dyDescent="0.3">
      <c r="F436" s="9"/>
    </row>
    <row r="437" spans="1:6" s="10" customFormat="1" x14ac:dyDescent="0.3">
      <c r="A437" s="9"/>
    </row>
    <row r="438" spans="1:6" s="10" customFormat="1" x14ac:dyDescent="0.3">
      <c r="F438" s="9"/>
    </row>
    <row r="439" spans="1:6" s="10" customFormat="1" x14ac:dyDescent="0.3">
      <c r="F439" s="9"/>
    </row>
    <row r="440" spans="1:6" s="10" customFormat="1" x14ac:dyDescent="0.3">
      <c r="A440" s="9"/>
    </row>
    <row r="441" spans="1:6" s="10" customFormat="1" x14ac:dyDescent="0.3">
      <c r="A441" s="9"/>
    </row>
    <row r="442" spans="1:6" s="10" customFormat="1" x14ac:dyDescent="0.3">
      <c r="A442" s="9"/>
    </row>
    <row r="443" spans="1:6" s="10" customFormat="1" x14ac:dyDescent="0.3">
      <c r="F443" s="9"/>
    </row>
    <row r="444" spans="1:6" s="10" customFormat="1" x14ac:dyDescent="0.3">
      <c r="A444" s="9"/>
    </row>
    <row r="445" spans="1:6" s="10" customFormat="1" x14ac:dyDescent="0.3">
      <c r="A445" s="9"/>
    </row>
    <row r="446" spans="1:6" s="10" customFormat="1" x14ac:dyDescent="0.3">
      <c r="F446" s="9"/>
    </row>
    <row r="447" spans="1:6" s="10" customFormat="1" x14ac:dyDescent="0.3">
      <c r="F447" s="9"/>
    </row>
    <row r="448" spans="1:6" s="10" customFormat="1" x14ac:dyDescent="0.3">
      <c r="F448" s="9"/>
    </row>
    <row r="449" spans="1:6" s="10" customFormat="1" x14ac:dyDescent="0.3">
      <c r="A449" s="9"/>
    </row>
    <row r="450" spans="1:6" s="10" customFormat="1" x14ac:dyDescent="0.3">
      <c r="A450" s="9"/>
    </row>
    <row r="451" spans="1:6" s="10" customFormat="1" x14ac:dyDescent="0.3">
      <c r="F451" s="9"/>
    </row>
    <row r="452" spans="1:6" s="10" customFormat="1" x14ac:dyDescent="0.3">
      <c r="A452" s="9"/>
    </row>
    <row r="453" spans="1:6" s="10" customFormat="1" x14ac:dyDescent="0.3">
      <c r="A453" s="9"/>
    </row>
    <row r="454" spans="1:6" s="10" customFormat="1" x14ac:dyDescent="0.3">
      <c r="F454" s="9"/>
    </row>
    <row r="455" spans="1:6" s="10" customFormat="1" x14ac:dyDescent="0.3">
      <c r="F455" s="9"/>
    </row>
    <row r="456" spans="1:6" s="10" customFormat="1" x14ac:dyDescent="0.3">
      <c r="F456" s="9"/>
    </row>
    <row r="457" spans="1:6" s="10" customFormat="1" x14ac:dyDescent="0.3">
      <c r="A457" s="9"/>
    </row>
    <row r="458" spans="1:6" s="10" customFormat="1" x14ac:dyDescent="0.3">
      <c r="A458" s="9"/>
    </row>
    <row r="459" spans="1:6" s="10" customFormat="1" x14ac:dyDescent="0.3">
      <c r="F459" s="9"/>
    </row>
    <row r="460" spans="1:6" s="10" customFormat="1" x14ac:dyDescent="0.3">
      <c r="A460" s="9"/>
    </row>
    <row r="461" spans="1:6" s="10" customFormat="1" x14ac:dyDescent="0.3">
      <c r="A461" s="9"/>
    </row>
    <row r="462" spans="1:6" s="10" customFormat="1" x14ac:dyDescent="0.3">
      <c r="A462" s="9"/>
    </row>
    <row r="463" spans="1:6" s="10" customFormat="1" x14ac:dyDescent="0.3">
      <c r="F463" s="9"/>
    </row>
    <row r="464" spans="1:6" s="10" customFormat="1" x14ac:dyDescent="0.3">
      <c r="F464" s="9"/>
    </row>
    <row r="465" spans="1:6" s="10" customFormat="1" x14ac:dyDescent="0.3">
      <c r="F465" s="9"/>
    </row>
    <row r="466" spans="1:6" s="10" customFormat="1" x14ac:dyDescent="0.3">
      <c r="A466" s="9"/>
    </row>
    <row r="467" spans="1:6" s="10" customFormat="1" x14ac:dyDescent="0.3">
      <c r="A467" s="9"/>
    </row>
    <row r="468" spans="1:6" s="10" customFormat="1" x14ac:dyDescent="0.3">
      <c r="A468" s="9"/>
    </row>
    <row r="469" spans="1:6" s="10" customFormat="1" x14ac:dyDescent="0.3">
      <c r="A469" s="9"/>
    </row>
    <row r="470" spans="1:6" s="10" customFormat="1" x14ac:dyDescent="0.3">
      <c r="F470" s="9"/>
    </row>
    <row r="471" spans="1:6" s="10" customFormat="1" x14ac:dyDescent="0.3">
      <c r="F471" s="9"/>
    </row>
    <row r="472" spans="1:6" s="10" customFormat="1" x14ac:dyDescent="0.3">
      <c r="F472" s="9"/>
    </row>
    <row r="473" spans="1:6" s="10" customFormat="1" x14ac:dyDescent="0.3">
      <c r="F473" s="9"/>
    </row>
    <row r="474" spans="1:6" s="10" customFormat="1" x14ac:dyDescent="0.3">
      <c r="A474" s="9"/>
    </row>
    <row r="475" spans="1:6" s="10" customFormat="1" x14ac:dyDescent="0.3">
      <c r="A475" s="9"/>
    </row>
    <row r="476" spans="1:6" s="10" customFormat="1" x14ac:dyDescent="0.3">
      <c r="F476" s="9"/>
    </row>
    <row r="477" spans="1:6" s="10" customFormat="1" x14ac:dyDescent="0.3">
      <c r="A477" s="9"/>
    </row>
    <row r="478" spans="1:6" s="10" customFormat="1" x14ac:dyDescent="0.3">
      <c r="A478" s="9"/>
    </row>
    <row r="479" spans="1:6" s="10" customFormat="1" x14ac:dyDescent="0.3">
      <c r="F479" s="9"/>
    </row>
    <row r="480" spans="1:6" s="10" customFormat="1" x14ac:dyDescent="0.3">
      <c r="F480" s="9"/>
    </row>
    <row r="481" spans="1:6" s="10" customFormat="1" x14ac:dyDescent="0.3">
      <c r="F481" s="9"/>
    </row>
    <row r="482" spans="1:6" s="10" customFormat="1" x14ac:dyDescent="0.3">
      <c r="A482" s="9"/>
    </row>
    <row r="483" spans="1:6" s="10" customFormat="1" x14ac:dyDescent="0.3">
      <c r="A483" s="9"/>
    </row>
    <row r="484" spans="1:6" s="10" customFormat="1" x14ac:dyDescent="0.3">
      <c r="A484" s="9"/>
    </row>
    <row r="485" spans="1:6" s="10" customFormat="1" x14ac:dyDescent="0.3">
      <c r="A485" s="9"/>
    </row>
    <row r="486" spans="1:6" s="10" customFormat="1" x14ac:dyDescent="0.3">
      <c r="A486" s="9"/>
    </row>
    <row r="487" spans="1:6" s="10" customFormat="1" x14ac:dyDescent="0.3">
      <c r="F487" s="9"/>
    </row>
    <row r="488" spans="1:6" s="10" customFormat="1" x14ac:dyDescent="0.3">
      <c r="F488" s="9"/>
    </row>
    <row r="489" spans="1:6" s="10" customFormat="1" x14ac:dyDescent="0.3">
      <c r="A489" s="9"/>
    </row>
    <row r="490" spans="1:6" s="10" customFormat="1" x14ac:dyDescent="0.3">
      <c r="F490" s="9"/>
    </row>
    <row r="491" spans="1:6" s="10" customFormat="1" x14ac:dyDescent="0.3">
      <c r="A491" s="9"/>
    </row>
    <row r="492" spans="1:6" s="10" customFormat="1" x14ac:dyDescent="0.3">
      <c r="A492" s="9"/>
    </row>
    <row r="493" spans="1:6" s="10" customFormat="1" x14ac:dyDescent="0.3">
      <c r="F493" s="9"/>
    </row>
    <row r="494" spans="1:6" s="10" customFormat="1" x14ac:dyDescent="0.3">
      <c r="F494" s="9"/>
    </row>
    <row r="495" spans="1:6" s="10" customFormat="1" x14ac:dyDescent="0.3">
      <c r="F495" s="9"/>
    </row>
    <row r="496" spans="1:6" s="10" customFormat="1" x14ac:dyDescent="0.3">
      <c r="A496" s="9"/>
    </row>
    <row r="497" spans="1:6" s="10" customFormat="1" x14ac:dyDescent="0.3">
      <c r="A497" s="9"/>
    </row>
    <row r="498" spans="1:6" s="10" customFormat="1" x14ac:dyDescent="0.3">
      <c r="F498" s="9"/>
    </row>
    <row r="499" spans="1:6" s="10" customFormat="1" x14ac:dyDescent="0.3">
      <c r="F499" s="9"/>
    </row>
    <row r="500" spans="1:6" s="10" customFormat="1" x14ac:dyDescent="0.3">
      <c r="A500" s="9"/>
    </row>
    <row r="501" spans="1:6" s="10" customFormat="1" x14ac:dyDescent="0.3">
      <c r="A501" s="9"/>
    </row>
    <row r="502" spans="1:6" s="10" customFormat="1" x14ac:dyDescent="0.3">
      <c r="A502" s="9"/>
    </row>
    <row r="503" spans="1:6" s="10" customFormat="1" x14ac:dyDescent="0.3">
      <c r="F503" s="9"/>
    </row>
    <row r="504" spans="1:6" s="10" customFormat="1" x14ac:dyDescent="0.3">
      <c r="A504" s="9"/>
    </row>
    <row r="505" spans="1:6" s="10" customFormat="1" x14ac:dyDescent="0.3">
      <c r="F505" s="9"/>
    </row>
    <row r="506" spans="1:6" s="10" customFormat="1" x14ac:dyDescent="0.3">
      <c r="F506" s="9"/>
    </row>
    <row r="507" spans="1:6" s="10" customFormat="1" x14ac:dyDescent="0.3">
      <c r="F507" s="9"/>
    </row>
    <row r="508" spans="1:6" s="10" customFormat="1" x14ac:dyDescent="0.3">
      <c r="A508" s="9"/>
    </row>
    <row r="509" spans="1:6" s="10" customFormat="1" x14ac:dyDescent="0.3">
      <c r="A509" s="9"/>
    </row>
    <row r="510" spans="1:6" s="10" customFormat="1" x14ac:dyDescent="0.3">
      <c r="F510" s="9"/>
    </row>
    <row r="511" spans="1:6" s="10" customFormat="1" x14ac:dyDescent="0.3">
      <c r="A511" s="9"/>
    </row>
    <row r="512" spans="1:6" s="10" customFormat="1" x14ac:dyDescent="0.3">
      <c r="A512" s="9"/>
    </row>
    <row r="513" spans="1:6" s="10" customFormat="1" x14ac:dyDescent="0.3">
      <c r="F513" s="9"/>
    </row>
    <row r="514" spans="1:6" s="10" customFormat="1" x14ac:dyDescent="0.3">
      <c r="F514" s="9"/>
    </row>
    <row r="515" spans="1:6" s="10" customFormat="1" x14ac:dyDescent="0.3">
      <c r="F515" s="9"/>
    </row>
    <row r="516" spans="1:6" s="10" customFormat="1" x14ac:dyDescent="0.3">
      <c r="A516" s="9"/>
    </row>
    <row r="517" spans="1:6" s="10" customFormat="1" x14ac:dyDescent="0.3">
      <c r="A517" s="9"/>
    </row>
    <row r="518" spans="1:6" s="10" customFormat="1" x14ac:dyDescent="0.3">
      <c r="F518" s="9"/>
    </row>
    <row r="519" spans="1:6" s="10" customFormat="1" x14ac:dyDescent="0.3">
      <c r="A519" s="9"/>
    </row>
    <row r="520" spans="1:6" s="10" customFormat="1" x14ac:dyDescent="0.3">
      <c r="A520" s="9"/>
    </row>
    <row r="521" spans="1:6" s="10" customFormat="1" x14ac:dyDescent="0.3">
      <c r="F521" s="9"/>
    </row>
    <row r="522" spans="1:6" s="10" customFormat="1" x14ac:dyDescent="0.3">
      <c r="F522" s="9"/>
    </row>
    <row r="523" spans="1:6" s="10" customFormat="1" x14ac:dyDescent="0.3">
      <c r="F523" s="9"/>
    </row>
    <row r="524" spans="1:6" s="10" customFormat="1" x14ac:dyDescent="0.3">
      <c r="A524" s="9"/>
    </row>
    <row r="525" spans="1:6" s="10" customFormat="1" x14ac:dyDescent="0.3">
      <c r="A525" s="9"/>
    </row>
    <row r="526" spans="1:6" s="10" customFormat="1" x14ac:dyDescent="0.3">
      <c r="A526" s="9"/>
    </row>
    <row r="527" spans="1:6" s="10" customFormat="1" x14ac:dyDescent="0.3">
      <c r="F527" s="9"/>
    </row>
    <row r="528" spans="1:6" s="10" customFormat="1" x14ac:dyDescent="0.3">
      <c r="A528" s="9"/>
    </row>
    <row r="529" spans="1:6" s="10" customFormat="1" x14ac:dyDescent="0.3">
      <c r="A529" s="9"/>
    </row>
    <row r="530" spans="1:6" s="10" customFormat="1" x14ac:dyDescent="0.3">
      <c r="F530" s="9"/>
    </row>
    <row r="531" spans="1:6" s="10" customFormat="1" x14ac:dyDescent="0.3">
      <c r="F531" s="9"/>
    </row>
    <row r="532" spans="1:6" s="10" customFormat="1" x14ac:dyDescent="0.3">
      <c r="F532" s="9"/>
    </row>
    <row r="533" spans="1:6" s="10" customFormat="1" x14ac:dyDescent="0.3">
      <c r="A533" s="9"/>
    </row>
    <row r="534" spans="1:6" s="10" customFormat="1" x14ac:dyDescent="0.3">
      <c r="A534" s="9"/>
    </row>
    <row r="535" spans="1:6" s="10" customFormat="1" x14ac:dyDescent="0.3">
      <c r="A535" s="9"/>
    </row>
    <row r="536" spans="1:6" s="10" customFormat="1" x14ac:dyDescent="0.3">
      <c r="A536" s="9"/>
    </row>
    <row r="537" spans="1:6" s="10" customFormat="1" x14ac:dyDescent="0.3">
      <c r="F537" s="9"/>
    </row>
    <row r="538" spans="1:6" s="10" customFormat="1" x14ac:dyDescent="0.3">
      <c r="F538" s="9"/>
    </row>
    <row r="539" spans="1:6" s="10" customFormat="1" x14ac:dyDescent="0.3">
      <c r="F539" s="9"/>
    </row>
    <row r="540" spans="1:6" s="10" customFormat="1" x14ac:dyDescent="0.3">
      <c r="A540" s="9"/>
    </row>
    <row r="541" spans="1:6" s="10" customFormat="1" x14ac:dyDescent="0.3">
      <c r="A541" s="9"/>
    </row>
    <row r="542" spans="1:6" s="10" customFormat="1" x14ac:dyDescent="0.3">
      <c r="A542" s="9"/>
    </row>
    <row r="543" spans="1:6" s="10" customFormat="1" x14ac:dyDescent="0.3">
      <c r="A543" s="9"/>
    </row>
    <row r="544" spans="1:6" s="10" customFormat="1" x14ac:dyDescent="0.3">
      <c r="A544" s="9"/>
    </row>
    <row r="545" spans="1:6" s="10" customFormat="1" x14ac:dyDescent="0.3">
      <c r="F545" s="9"/>
    </row>
    <row r="546" spans="1:6" s="10" customFormat="1" x14ac:dyDescent="0.3">
      <c r="A546" s="9"/>
    </row>
    <row r="547" spans="1:6" s="10" customFormat="1" x14ac:dyDescent="0.3">
      <c r="A547" s="9"/>
    </row>
    <row r="548" spans="1:6" s="10" customFormat="1" x14ac:dyDescent="0.3">
      <c r="F548" s="9"/>
    </row>
    <row r="549" spans="1:6" s="10" customFormat="1" x14ac:dyDescent="0.3">
      <c r="F549" s="9"/>
    </row>
    <row r="550" spans="1:6" s="10" customFormat="1" x14ac:dyDescent="0.3">
      <c r="F550" s="9"/>
    </row>
    <row r="551" spans="1:6" s="10" customFormat="1" x14ac:dyDescent="0.3">
      <c r="A551" s="9"/>
    </row>
    <row r="552" spans="1:6" s="10" customFormat="1" x14ac:dyDescent="0.3">
      <c r="A552" s="9"/>
    </row>
    <row r="553" spans="1:6" s="10" customFormat="1" x14ac:dyDescent="0.3">
      <c r="A553" s="9"/>
    </row>
    <row r="554" spans="1:6" s="10" customFormat="1" x14ac:dyDescent="0.3">
      <c r="A554" s="9"/>
    </row>
    <row r="555" spans="1:6" s="10" customFormat="1" x14ac:dyDescent="0.3">
      <c r="F555" s="9"/>
    </row>
    <row r="556" spans="1:6" s="10" customFormat="1" x14ac:dyDescent="0.3">
      <c r="F556" s="9"/>
    </row>
    <row r="557" spans="1:6" s="10" customFormat="1" x14ac:dyDescent="0.3">
      <c r="F557" s="9"/>
    </row>
    <row r="558" spans="1:6" s="10" customFormat="1" x14ac:dyDescent="0.3">
      <c r="F558" s="9"/>
    </row>
    <row r="559" spans="1:6" s="10" customFormat="1" x14ac:dyDescent="0.3">
      <c r="A559" s="9"/>
    </row>
    <row r="560" spans="1:6" s="10" customFormat="1" x14ac:dyDescent="0.3">
      <c r="A560" s="9"/>
    </row>
    <row r="561" spans="1:6" s="10" customFormat="1" x14ac:dyDescent="0.3">
      <c r="F561" s="9"/>
    </row>
    <row r="562" spans="1:6" s="10" customFormat="1" x14ac:dyDescent="0.3">
      <c r="F562" s="9"/>
    </row>
    <row r="563" spans="1:6" s="10" customFormat="1" x14ac:dyDescent="0.3">
      <c r="F563" s="9"/>
    </row>
    <row r="564" spans="1:6" s="10" customFormat="1" x14ac:dyDescent="0.3">
      <c r="A564" s="9"/>
    </row>
    <row r="565" spans="1:6" s="10" customFormat="1" x14ac:dyDescent="0.3">
      <c r="A565" s="9"/>
    </row>
    <row r="566" spans="1:6" s="10" customFormat="1" x14ac:dyDescent="0.3">
      <c r="A566" s="9"/>
    </row>
    <row r="567" spans="1:6" s="10" customFormat="1" x14ac:dyDescent="0.3">
      <c r="F567" s="9"/>
    </row>
    <row r="568" spans="1:6" s="10" customFormat="1" x14ac:dyDescent="0.3">
      <c r="F568" s="9"/>
    </row>
    <row r="569" spans="1:6" s="10" customFormat="1" x14ac:dyDescent="0.3">
      <c r="F569" s="9"/>
    </row>
    <row r="570" spans="1:6" s="10" customFormat="1" x14ac:dyDescent="0.3">
      <c r="A570" s="9"/>
    </row>
    <row r="571" spans="1:6" s="10" customFormat="1" x14ac:dyDescent="0.3">
      <c r="A571" s="9"/>
    </row>
    <row r="572" spans="1:6" s="10" customFormat="1" x14ac:dyDescent="0.3">
      <c r="A572" s="9"/>
    </row>
    <row r="573" spans="1:6" s="10" customFormat="1" x14ac:dyDescent="0.3">
      <c r="A573" s="9"/>
    </row>
    <row r="574" spans="1:6" s="10" customFormat="1" x14ac:dyDescent="0.3">
      <c r="A574" s="9"/>
    </row>
    <row r="575" spans="1:6" s="10" customFormat="1" x14ac:dyDescent="0.3">
      <c r="A575" s="9"/>
    </row>
    <row r="576" spans="1:6" s="10" customFormat="1" x14ac:dyDescent="0.3">
      <c r="A576" s="9"/>
    </row>
    <row r="577" spans="1:6" s="10" customFormat="1" x14ac:dyDescent="0.3">
      <c r="F577" s="9"/>
    </row>
    <row r="578" spans="1:6" s="10" customFormat="1" x14ac:dyDescent="0.3">
      <c r="F578" s="9"/>
    </row>
    <row r="579" spans="1:6" s="10" customFormat="1" x14ac:dyDescent="0.3">
      <c r="A579" s="9"/>
    </row>
    <row r="580" spans="1:6" s="10" customFormat="1" x14ac:dyDescent="0.3">
      <c r="A580" s="9"/>
    </row>
    <row r="581" spans="1:6" s="10" customFormat="1" x14ac:dyDescent="0.3">
      <c r="A581" s="9"/>
    </row>
    <row r="582" spans="1:6" s="10" customFormat="1" x14ac:dyDescent="0.3">
      <c r="F582" s="9"/>
    </row>
    <row r="583" spans="1:6" s="10" customFormat="1" x14ac:dyDescent="0.3">
      <c r="F583" s="9"/>
    </row>
    <row r="584" spans="1:6" s="10" customFormat="1" x14ac:dyDescent="0.3">
      <c r="F584" s="9"/>
    </row>
    <row r="585" spans="1:6" s="10" customFormat="1" x14ac:dyDescent="0.3">
      <c r="F585" s="9"/>
    </row>
    <row r="586" spans="1:6" s="10" customFormat="1" x14ac:dyDescent="0.3">
      <c r="A586" s="9"/>
    </row>
    <row r="587" spans="1:6" s="10" customFormat="1" x14ac:dyDescent="0.3">
      <c r="A587" s="9"/>
    </row>
    <row r="588" spans="1:6" s="10" customFormat="1" x14ac:dyDescent="0.3">
      <c r="A588" s="9"/>
    </row>
    <row r="589" spans="1:6" s="10" customFormat="1" x14ac:dyDescent="0.3">
      <c r="A589" s="9"/>
    </row>
    <row r="590" spans="1:6" s="10" customFormat="1" x14ac:dyDescent="0.3">
      <c r="F590" s="9"/>
    </row>
    <row r="591" spans="1:6" s="10" customFormat="1" x14ac:dyDescent="0.3">
      <c r="F591" s="9"/>
    </row>
    <row r="592" spans="1:6" s="10" customFormat="1" x14ac:dyDescent="0.3">
      <c r="A592" s="9"/>
    </row>
    <row r="593" spans="1:6" s="10" customFormat="1" x14ac:dyDescent="0.3">
      <c r="A593" s="9"/>
    </row>
    <row r="594" spans="1:6" s="10" customFormat="1" x14ac:dyDescent="0.3">
      <c r="F594" s="9"/>
    </row>
    <row r="595" spans="1:6" s="10" customFormat="1" x14ac:dyDescent="0.3">
      <c r="F595" s="9"/>
    </row>
    <row r="596" spans="1:6" s="10" customFormat="1" x14ac:dyDescent="0.3">
      <c r="A596" s="9"/>
    </row>
    <row r="597" spans="1:6" s="10" customFormat="1" x14ac:dyDescent="0.3">
      <c r="A597" s="9"/>
    </row>
    <row r="598" spans="1:6" s="10" customFormat="1" x14ac:dyDescent="0.3">
      <c r="F598" s="9"/>
    </row>
    <row r="599" spans="1:6" s="10" customFormat="1" x14ac:dyDescent="0.3">
      <c r="F599" s="9"/>
    </row>
    <row r="600" spans="1:6" s="10" customFormat="1" x14ac:dyDescent="0.3">
      <c r="A600" s="9"/>
    </row>
    <row r="601" spans="1:6" s="10" customFormat="1" x14ac:dyDescent="0.3">
      <c r="A601" s="9"/>
    </row>
    <row r="602" spans="1:6" s="10" customFormat="1" x14ac:dyDescent="0.3">
      <c r="F602" s="9"/>
    </row>
    <row r="603" spans="1:6" s="10" customFormat="1" x14ac:dyDescent="0.3">
      <c r="A603" s="9"/>
    </row>
    <row r="604" spans="1:6" s="10" customFormat="1" x14ac:dyDescent="0.3">
      <c r="A604" s="9"/>
    </row>
    <row r="605" spans="1:6" s="10" customFormat="1" x14ac:dyDescent="0.3">
      <c r="F605" s="9"/>
    </row>
    <row r="606" spans="1:6" s="10" customFormat="1" x14ac:dyDescent="0.3">
      <c r="F606" s="9"/>
    </row>
    <row r="607" spans="1:6" s="10" customFormat="1" x14ac:dyDescent="0.3">
      <c r="F607" s="9"/>
    </row>
    <row r="608" spans="1:6" s="10" customFormat="1" x14ac:dyDescent="0.3">
      <c r="A608" s="9"/>
    </row>
    <row r="609" spans="1:6" s="10" customFormat="1" x14ac:dyDescent="0.3">
      <c r="A609" s="9"/>
    </row>
    <row r="610" spans="1:6" s="10" customFormat="1" x14ac:dyDescent="0.3">
      <c r="A610" s="9"/>
    </row>
    <row r="611" spans="1:6" s="10" customFormat="1" x14ac:dyDescent="0.3">
      <c r="F611" s="9"/>
    </row>
    <row r="612" spans="1:6" s="10" customFormat="1" x14ac:dyDescent="0.3">
      <c r="A612" s="9"/>
    </row>
    <row r="613" spans="1:6" s="10" customFormat="1" x14ac:dyDescent="0.3">
      <c r="A613" s="9"/>
    </row>
    <row r="614" spans="1:6" s="10" customFormat="1" x14ac:dyDescent="0.3">
      <c r="F614" s="9"/>
    </row>
    <row r="615" spans="1:6" s="10" customFormat="1" x14ac:dyDescent="0.3">
      <c r="F615" s="9"/>
    </row>
    <row r="616" spans="1:6" s="10" customFormat="1" x14ac:dyDescent="0.3">
      <c r="F616" s="9"/>
    </row>
    <row r="617" spans="1:6" s="10" customFormat="1" x14ac:dyDescent="0.3">
      <c r="A617" s="9"/>
    </row>
    <row r="618" spans="1:6" s="10" customFormat="1" x14ac:dyDescent="0.3">
      <c r="A618" s="9"/>
    </row>
    <row r="619" spans="1:6" s="10" customFormat="1" x14ac:dyDescent="0.3">
      <c r="A619" s="9"/>
    </row>
    <row r="620" spans="1:6" s="10" customFormat="1" x14ac:dyDescent="0.3">
      <c r="A620" s="9"/>
    </row>
    <row r="621" spans="1:6" s="10" customFormat="1" x14ac:dyDescent="0.3">
      <c r="F621" s="9"/>
    </row>
    <row r="622" spans="1:6" s="10" customFormat="1" x14ac:dyDescent="0.3">
      <c r="F622" s="9"/>
    </row>
    <row r="623" spans="1:6" s="10" customFormat="1" x14ac:dyDescent="0.3">
      <c r="F623" s="9"/>
    </row>
    <row r="624" spans="1:6" s="10" customFormat="1" x14ac:dyDescent="0.3">
      <c r="A624" s="9"/>
    </row>
    <row r="625" spans="1:6" s="10" customFormat="1" x14ac:dyDescent="0.3">
      <c r="A625" s="9"/>
    </row>
    <row r="626" spans="1:6" s="10" customFormat="1" x14ac:dyDescent="0.3">
      <c r="F626" s="9"/>
    </row>
    <row r="627" spans="1:6" s="10" customFormat="1" x14ac:dyDescent="0.3">
      <c r="A627" s="9"/>
    </row>
    <row r="628" spans="1:6" s="10" customFormat="1" x14ac:dyDescent="0.3">
      <c r="F628" s="9"/>
    </row>
    <row r="629" spans="1:6" s="10" customFormat="1" x14ac:dyDescent="0.3">
      <c r="A629" s="9"/>
    </row>
    <row r="630" spans="1:6" s="10" customFormat="1" x14ac:dyDescent="0.3">
      <c r="A630" s="9"/>
    </row>
    <row r="631" spans="1:6" s="10" customFormat="1" x14ac:dyDescent="0.3">
      <c r="F631" s="9"/>
    </row>
    <row r="632" spans="1:6" s="10" customFormat="1" x14ac:dyDescent="0.3">
      <c r="A632" s="9"/>
    </row>
    <row r="633" spans="1:6" s="10" customFormat="1" x14ac:dyDescent="0.3">
      <c r="A633" s="9"/>
    </row>
    <row r="634" spans="1:6" s="10" customFormat="1" x14ac:dyDescent="0.3">
      <c r="F634" s="9"/>
    </row>
    <row r="635" spans="1:6" s="10" customFormat="1" x14ac:dyDescent="0.3">
      <c r="F635" s="9"/>
    </row>
    <row r="636" spans="1:6" s="10" customFormat="1" x14ac:dyDescent="0.3">
      <c r="F636" s="9"/>
    </row>
    <row r="637" spans="1:6" s="10" customFormat="1" x14ac:dyDescent="0.3">
      <c r="A637" s="9"/>
    </row>
    <row r="638" spans="1:6" s="10" customFormat="1" x14ac:dyDescent="0.3">
      <c r="A638" s="9"/>
    </row>
    <row r="639" spans="1:6" s="10" customFormat="1" x14ac:dyDescent="0.3">
      <c r="A639" s="9"/>
    </row>
    <row r="640" spans="1:6" s="10" customFormat="1" x14ac:dyDescent="0.3">
      <c r="F640" s="9"/>
    </row>
    <row r="641" spans="1:6" s="10" customFormat="1" x14ac:dyDescent="0.3">
      <c r="F641" s="9"/>
    </row>
    <row r="642" spans="1:6" s="10" customFormat="1" x14ac:dyDescent="0.3">
      <c r="F642" s="9"/>
    </row>
    <row r="643" spans="1:6" s="10" customFormat="1" x14ac:dyDescent="0.3">
      <c r="F643" s="9"/>
    </row>
    <row r="644" spans="1:6" s="10" customFormat="1" x14ac:dyDescent="0.3">
      <c r="F644" s="9"/>
    </row>
    <row r="645" spans="1:6" s="10" customFormat="1" x14ac:dyDescent="0.3">
      <c r="F645" s="9"/>
    </row>
    <row r="646" spans="1:6" s="10" customFormat="1" x14ac:dyDescent="0.3">
      <c r="A646" s="9"/>
    </row>
    <row r="647" spans="1:6" s="10" customFormat="1" x14ac:dyDescent="0.3">
      <c r="A647" s="9"/>
    </row>
    <row r="648" spans="1:6" s="10" customFormat="1" x14ac:dyDescent="0.3">
      <c r="A648" s="9"/>
    </row>
    <row r="649" spans="1:6" s="10" customFormat="1" x14ac:dyDescent="0.3">
      <c r="A649" s="9"/>
    </row>
    <row r="650" spans="1:6" s="10" customFormat="1" x14ac:dyDescent="0.3">
      <c r="F650" s="9"/>
    </row>
    <row r="651" spans="1:6" s="10" customFormat="1" x14ac:dyDescent="0.3">
      <c r="F651" s="9"/>
    </row>
    <row r="652" spans="1:6" s="10" customFormat="1" x14ac:dyDescent="0.3">
      <c r="F652" s="9"/>
    </row>
    <row r="653" spans="1:6" s="10" customFormat="1" x14ac:dyDescent="0.3">
      <c r="F653" s="9"/>
    </row>
    <row r="654" spans="1:6" s="10" customFormat="1" x14ac:dyDescent="0.3">
      <c r="A654" s="9"/>
    </row>
    <row r="655" spans="1:6" s="10" customFormat="1" x14ac:dyDescent="0.3">
      <c r="A655" s="9"/>
    </row>
    <row r="656" spans="1:6" s="10" customFormat="1" x14ac:dyDescent="0.3">
      <c r="A656" s="9"/>
    </row>
    <row r="657" spans="1:6" s="10" customFormat="1" x14ac:dyDescent="0.3">
      <c r="A657" s="9"/>
    </row>
    <row r="658" spans="1:6" s="10" customFormat="1" x14ac:dyDescent="0.3">
      <c r="F658" s="9"/>
    </row>
    <row r="659" spans="1:6" s="10" customFormat="1" x14ac:dyDescent="0.3">
      <c r="F659" s="9"/>
    </row>
    <row r="660" spans="1:6" s="10" customFormat="1" x14ac:dyDescent="0.3">
      <c r="A660" s="9"/>
    </row>
    <row r="661" spans="1:6" s="10" customFormat="1" x14ac:dyDescent="0.3">
      <c r="A661" s="9"/>
    </row>
    <row r="662" spans="1:6" s="10" customFormat="1" x14ac:dyDescent="0.3">
      <c r="A662" s="9"/>
    </row>
    <row r="663" spans="1:6" s="10" customFormat="1" x14ac:dyDescent="0.3">
      <c r="F663" s="9"/>
    </row>
    <row r="664" spans="1:6" s="10" customFormat="1" x14ac:dyDescent="0.3">
      <c r="F664" s="9"/>
    </row>
    <row r="665" spans="1:6" s="10" customFormat="1" x14ac:dyDescent="0.3">
      <c r="A665" s="9"/>
    </row>
    <row r="666" spans="1:6" s="10" customFormat="1" x14ac:dyDescent="0.3">
      <c r="A666" s="9"/>
    </row>
    <row r="667" spans="1:6" s="10" customFormat="1" x14ac:dyDescent="0.3">
      <c r="F667" s="9"/>
    </row>
    <row r="668" spans="1:6" s="10" customFormat="1" x14ac:dyDescent="0.3">
      <c r="F668" s="9"/>
    </row>
    <row r="669" spans="1:6" s="10" customFormat="1" x14ac:dyDescent="0.3">
      <c r="F669" s="9"/>
    </row>
    <row r="670" spans="1:6" s="10" customFormat="1" x14ac:dyDescent="0.3">
      <c r="F670" s="9"/>
    </row>
    <row r="671" spans="1:6" s="10" customFormat="1" x14ac:dyDescent="0.3">
      <c r="A671" s="9"/>
    </row>
    <row r="672" spans="1:6" s="10" customFormat="1" x14ac:dyDescent="0.3">
      <c r="A672" s="9"/>
    </row>
    <row r="673" spans="1:6" s="10" customFormat="1" x14ac:dyDescent="0.3">
      <c r="A673" s="9"/>
    </row>
    <row r="674" spans="1:6" s="10" customFormat="1" x14ac:dyDescent="0.3">
      <c r="F674" s="9"/>
    </row>
    <row r="675" spans="1:6" s="10" customFormat="1" x14ac:dyDescent="0.3">
      <c r="F675" s="9"/>
    </row>
    <row r="676" spans="1:6" s="10" customFormat="1" x14ac:dyDescent="0.3">
      <c r="F676" s="9"/>
    </row>
    <row r="677" spans="1:6" s="10" customFormat="1" x14ac:dyDescent="0.3">
      <c r="F677" s="9"/>
    </row>
    <row r="678" spans="1:6" s="10" customFormat="1" x14ac:dyDescent="0.3">
      <c r="F678" s="9"/>
    </row>
    <row r="679" spans="1:6" s="10" customFormat="1" x14ac:dyDescent="0.3">
      <c r="A679" s="9"/>
    </row>
    <row r="680" spans="1:6" s="10" customFormat="1" x14ac:dyDescent="0.3">
      <c r="A680" s="9"/>
    </row>
    <row r="681" spans="1:6" s="10" customFormat="1" x14ac:dyDescent="0.3">
      <c r="A681" s="9"/>
    </row>
    <row r="682" spans="1:6" s="10" customFormat="1" x14ac:dyDescent="0.3">
      <c r="A682" s="9"/>
    </row>
    <row r="683" spans="1:6" s="10" customFormat="1" x14ac:dyDescent="0.3">
      <c r="A683" s="9"/>
    </row>
    <row r="684" spans="1:6" s="10" customFormat="1" x14ac:dyDescent="0.3">
      <c r="A684" s="9"/>
    </row>
    <row r="685" spans="1:6" s="10" customFormat="1" x14ac:dyDescent="0.3">
      <c r="A685" s="9"/>
    </row>
    <row r="686" spans="1:6" s="10" customFormat="1" x14ac:dyDescent="0.3">
      <c r="A686" s="9"/>
    </row>
    <row r="687" spans="1:6" s="10" customFormat="1" x14ac:dyDescent="0.3">
      <c r="F687" s="9"/>
    </row>
    <row r="688" spans="1:6" s="10" customFormat="1" x14ac:dyDescent="0.3">
      <c r="F688" s="9"/>
    </row>
    <row r="689" spans="1:6" s="10" customFormat="1" x14ac:dyDescent="0.3">
      <c r="A689" s="9"/>
    </row>
    <row r="690" spans="1:6" s="10" customFormat="1" x14ac:dyDescent="0.3">
      <c r="F690" s="9"/>
    </row>
    <row r="691" spans="1:6" s="10" customFormat="1" x14ac:dyDescent="0.3">
      <c r="A691" s="9"/>
    </row>
    <row r="692" spans="1:6" s="10" customFormat="1" x14ac:dyDescent="0.3">
      <c r="A692" s="9"/>
    </row>
    <row r="693" spans="1:6" s="10" customFormat="1" x14ac:dyDescent="0.3">
      <c r="F693" s="9"/>
    </row>
    <row r="694" spans="1:6" s="10" customFormat="1" x14ac:dyDescent="0.3">
      <c r="F694" s="9"/>
    </row>
    <row r="695" spans="1:6" s="10" customFormat="1" x14ac:dyDescent="0.3">
      <c r="A695" s="9"/>
    </row>
    <row r="696" spans="1:6" s="10" customFormat="1" x14ac:dyDescent="0.3">
      <c r="F696" s="9"/>
    </row>
    <row r="697" spans="1:6" s="10" customFormat="1" x14ac:dyDescent="0.3">
      <c r="A697" s="9"/>
    </row>
    <row r="698" spans="1:6" s="10" customFormat="1" x14ac:dyDescent="0.3">
      <c r="A698" s="9"/>
    </row>
    <row r="699" spans="1:6" s="10" customFormat="1" x14ac:dyDescent="0.3">
      <c r="F699" s="9"/>
    </row>
    <row r="700" spans="1:6" s="10" customFormat="1" x14ac:dyDescent="0.3">
      <c r="A700" s="9"/>
    </row>
    <row r="701" spans="1:6" s="10" customFormat="1" x14ac:dyDescent="0.3">
      <c r="A701" s="9"/>
    </row>
    <row r="702" spans="1:6" s="10" customFormat="1" x14ac:dyDescent="0.3">
      <c r="F702" s="9"/>
    </row>
    <row r="703" spans="1:6" s="10" customFormat="1" x14ac:dyDescent="0.3">
      <c r="F703" s="9"/>
    </row>
    <row r="704" spans="1:6" s="10" customFormat="1" x14ac:dyDescent="0.3">
      <c r="F704" s="9"/>
    </row>
    <row r="705" spans="1:6" s="10" customFormat="1" x14ac:dyDescent="0.3">
      <c r="A705" s="9"/>
    </row>
    <row r="706" spans="1:6" s="10" customFormat="1" x14ac:dyDescent="0.3">
      <c r="A706" s="9"/>
    </row>
    <row r="707" spans="1:6" s="10" customFormat="1" x14ac:dyDescent="0.3">
      <c r="F707" s="9"/>
    </row>
    <row r="708" spans="1:6" s="10" customFormat="1" x14ac:dyDescent="0.3">
      <c r="A708" s="9"/>
    </row>
    <row r="709" spans="1:6" s="10" customFormat="1" x14ac:dyDescent="0.3">
      <c r="A709" s="9"/>
    </row>
    <row r="710" spans="1:6" s="10" customFormat="1" x14ac:dyDescent="0.3">
      <c r="F710" s="9"/>
    </row>
    <row r="711" spans="1:6" s="10" customFormat="1" x14ac:dyDescent="0.3">
      <c r="F711" s="9"/>
    </row>
    <row r="712" spans="1:6" s="10" customFormat="1" x14ac:dyDescent="0.3">
      <c r="F712" s="9"/>
    </row>
    <row r="713" spans="1:6" s="10" customFormat="1" x14ac:dyDescent="0.3">
      <c r="A713" s="9"/>
    </row>
    <row r="714" spans="1:6" s="10" customFormat="1" x14ac:dyDescent="0.3">
      <c r="A714" s="9"/>
    </row>
    <row r="715" spans="1:6" s="10" customFormat="1" x14ac:dyDescent="0.3">
      <c r="F715" s="9"/>
    </row>
    <row r="716" spans="1:6" s="10" customFormat="1" x14ac:dyDescent="0.3">
      <c r="F716" s="9"/>
    </row>
    <row r="717" spans="1:6" s="10" customFormat="1" x14ac:dyDescent="0.3">
      <c r="A717" s="9"/>
    </row>
    <row r="718" spans="1:6" s="10" customFormat="1" x14ac:dyDescent="0.3">
      <c r="A718" s="9"/>
    </row>
    <row r="719" spans="1:6" s="10" customFormat="1" x14ac:dyDescent="0.3">
      <c r="A719" s="9"/>
    </row>
    <row r="720" spans="1:6" s="10" customFormat="1" x14ac:dyDescent="0.3">
      <c r="A720" s="9"/>
    </row>
    <row r="721" spans="1:6" s="10" customFormat="1" x14ac:dyDescent="0.3">
      <c r="A721" s="9"/>
    </row>
    <row r="722" spans="1:6" s="10" customFormat="1" x14ac:dyDescent="0.3">
      <c r="A722" s="9"/>
    </row>
    <row r="723" spans="1:6" s="10" customFormat="1" x14ac:dyDescent="0.3">
      <c r="A723" s="9"/>
    </row>
    <row r="724" spans="1:6" s="10" customFormat="1" x14ac:dyDescent="0.3">
      <c r="F724" s="9"/>
    </row>
    <row r="725" spans="1:6" s="10" customFormat="1" x14ac:dyDescent="0.3">
      <c r="F725" s="9"/>
    </row>
    <row r="726" spans="1:6" s="10" customFormat="1" x14ac:dyDescent="0.3">
      <c r="A726" s="9"/>
    </row>
    <row r="727" spans="1:6" s="10" customFormat="1" x14ac:dyDescent="0.3">
      <c r="F727" s="9"/>
    </row>
    <row r="728" spans="1:6" s="10" customFormat="1" x14ac:dyDescent="0.3">
      <c r="F728" s="9"/>
    </row>
    <row r="729" spans="1:6" s="10" customFormat="1" x14ac:dyDescent="0.3">
      <c r="A729" s="9"/>
    </row>
    <row r="730" spans="1:6" s="10" customFormat="1" x14ac:dyDescent="0.3">
      <c r="A730" s="9"/>
    </row>
    <row r="731" spans="1:6" s="10" customFormat="1" x14ac:dyDescent="0.3">
      <c r="F731" s="9"/>
    </row>
    <row r="732" spans="1:6" s="10" customFormat="1" x14ac:dyDescent="0.3">
      <c r="A732" s="9"/>
    </row>
    <row r="733" spans="1:6" s="10" customFormat="1" x14ac:dyDescent="0.3">
      <c r="A733" s="9"/>
    </row>
    <row r="734" spans="1:6" s="10" customFormat="1" x14ac:dyDescent="0.3">
      <c r="F734" s="9"/>
    </row>
    <row r="735" spans="1:6" s="10" customFormat="1" x14ac:dyDescent="0.3">
      <c r="F735" s="9"/>
    </row>
    <row r="736" spans="1:6" s="10" customFormat="1" x14ac:dyDescent="0.3">
      <c r="F736" s="9"/>
    </row>
    <row r="737" spans="1:6" s="10" customFormat="1" x14ac:dyDescent="0.3">
      <c r="A737" s="9"/>
    </row>
    <row r="738" spans="1:6" s="10" customFormat="1" x14ac:dyDescent="0.3">
      <c r="A738" s="9"/>
    </row>
    <row r="739" spans="1:6" s="10" customFormat="1" x14ac:dyDescent="0.3">
      <c r="F739" s="9"/>
    </row>
    <row r="740" spans="1:6" s="10" customFormat="1" x14ac:dyDescent="0.3">
      <c r="F740" s="9"/>
    </row>
    <row r="741" spans="1:6" s="10" customFormat="1" x14ac:dyDescent="0.3">
      <c r="A741" s="9"/>
    </row>
    <row r="742" spans="1:6" s="10" customFormat="1" x14ac:dyDescent="0.3">
      <c r="A742" s="9"/>
    </row>
    <row r="743" spans="1:6" s="10" customFormat="1" x14ac:dyDescent="0.3">
      <c r="A743" s="9"/>
    </row>
    <row r="744" spans="1:6" s="10" customFormat="1" x14ac:dyDescent="0.3">
      <c r="A744" s="9"/>
    </row>
    <row r="745" spans="1:6" s="10" customFormat="1" x14ac:dyDescent="0.3">
      <c r="F745" s="9"/>
    </row>
    <row r="746" spans="1:6" s="10" customFormat="1" x14ac:dyDescent="0.3">
      <c r="F746" s="9"/>
    </row>
    <row r="747" spans="1:6" s="10" customFormat="1" x14ac:dyDescent="0.3">
      <c r="A747" s="9"/>
    </row>
    <row r="748" spans="1:6" s="10" customFormat="1" x14ac:dyDescent="0.3">
      <c r="A748" s="9"/>
    </row>
    <row r="749" spans="1:6" s="10" customFormat="1" x14ac:dyDescent="0.3">
      <c r="F749" s="9"/>
    </row>
    <row r="750" spans="1:6" s="10" customFormat="1" x14ac:dyDescent="0.3">
      <c r="F750" s="9"/>
    </row>
    <row r="751" spans="1:6" s="10" customFormat="1" x14ac:dyDescent="0.3">
      <c r="A751" s="9"/>
    </row>
    <row r="752" spans="1:6" s="10" customFormat="1" x14ac:dyDescent="0.3">
      <c r="A752" s="9"/>
    </row>
    <row r="753" spans="1:6" s="10" customFormat="1" x14ac:dyDescent="0.3">
      <c r="F753" s="9"/>
    </row>
    <row r="754" spans="1:6" s="10" customFormat="1" x14ac:dyDescent="0.3">
      <c r="A754" s="9"/>
    </row>
    <row r="755" spans="1:6" s="10" customFormat="1" x14ac:dyDescent="0.3">
      <c r="F755" s="9"/>
    </row>
    <row r="756" spans="1:6" s="10" customFormat="1" x14ac:dyDescent="0.3">
      <c r="F756" s="9"/>
    </row>
    <row r="757" spans="1:6" s="10" customFormat="1" x14ac:dyDescent="0.3">
      <c r="F757" s="9"/>
    </row>
    <row r="758" spans="1:6" s="10" customFormat="1" x14ac:dyDescent="0.3">
      <c r="A758" s="9"/>
    </row>
    <row r="759" spans="1:6" s="10" customFormat="1" x14ac:dyDescent="0.3">
      <c r="A759" s="9"/>
    </row>
    <row r="760" spans="1:6" s="10" customFormat="1" x14ac:dyDescent="0.3">
      <c r="F760" s="9"/>
    </row>
    <row r="761" spans="1:6" s="10" customFormat="1" x14ac:dyDescent="0.3">
      <c r="A761" s="9"/>
    </row>
    <row r="762" spans="1:6" s="10" customFormat="1" x14ac:dyDescent="0.3">
      <c r="A762" s="9"/>
    </row>
    <row r="763" spans="1:6" s="10" customFormat="1" x14ac:dyDescent="0.3">
      <c r="A763" s="9"/>
    </row>
    <row r="764" spans="1:6" s="10" customFormat="1" x14ac:dyDescent="0.3">
      <c r="F764" s="9"/>
    </row>
    <row r="765" spans="1:6" s="10" customFormat="1" x14ac:dyDescent="0.3">
      <c r="F765" s="9"/>
    </row>
    <row r="766" spans="1:6" s="10" customFormat="1" x14ac:dyDescent="0.3">
      <c r="F766" s="9"/>
    </row>
    <row r="767" spans="1:6" s="10" customFormat="1" x14ac:dyDescent="0.3">
      <c r="A767" s="9"/>
    </row>
    <row r="768" spans="1:6" s="10" customFormat="1" x14ac:dyDescent="0.3">
      <c r="A768" s="9"/>
    </row>
    <row r="769" spans="1:6" s="10" customFormat="1" x14ac:dyDescent="0.3">
      <c r="A769" s="9"/>
    </row>
    <row r="770" spans="1:6" s="10" customFormat="1" x14ac:dyDescent="0.3">
      <c r="A770" s="9"/>
    </row>
    <row r="771" spans="1:6" s="10" customFormat="1" x14ac:dyDescent="0.3">
      <c r="F771" s="9"/>
    </row>
    <row r="772" spans="1:6" s="10" customFormat="1" x14ac:dyDescent="0.3">
      <c r="F772" s="9"/>
    </row>
    <row r="773" spans="1:6" s="10" customFormat="1" x14ac:dyDescent="0.3">
      <c r="A773" s="9"/>
    </row>
    <row r="774" spans="1:6" s="10" customFormat="1" x14ac:dyDescent="0.3">
      <c r="A774" s="9"/>
    </row>
    <row r="775" spans="1:6" s="10" customFormat="1" x14ac:dyDescent="0.3">
      <c r="A775" s="9"/>
    </row>
    <row r="776" spans="1:6" s="10" customFormat="1" x14ac:dyDescent="0.3">
      <c r="A776" s="9"/>
    </row>
    <row r="777" spans="1:6" s="10" customFormat="1" x14ac:dyDescent="0.3">
      <c r="F777" s="9"/>
    </row>
    <row r="778" spans="1:6" s="10" customFormat="1" x14ac:dyDescent="0.3">
      <c r="F778" s="9"/>
    </row>
    <row r="779" spans="1:6" s="10" customFormat="1" x14ac:dyDescent="0.3">
      <c r="A779" s="9"/>
    </row>
    <row r="780" spans="1:6" s="10" customFormat="1" x14ac:dyDescent="0.3">
      <c r="A780" s="9"/>
    </row>
    <row r="781" spans="1:6" s="10" customFormat="1" x14ac:dyDescent="0.3">
      <c r="F781" s="9"/>
    </row>
    <row r="782" spans="1:6" s="10" customFormat="1" x14ac:dyDescent="0.3">
      <c r="F782" s="9"/>
    </row>
    <row r="783" spans="1:6" s="10" customFormat="1" x14ac:dyDescent="0.3">
      <c r="A783" s="9"/>
    </row>
    <row r="784" spans="1:6" s="10" customFormat="1" x14ac:dyDescent="0.3">
      <c r="A784" s="9"/>
    </row>
    <row r="785" spans="1:6" s="10" customFormat="1" x14ac:dyDescent="0.3">
      <c r="F785" s="9"/>
    </row>
    <row r="786" spans="1:6" s="10" customFormat="1" x14ac:dyDescent="0.3">
      <c r="F786" s="9"/>
    </row>
    <row r="787" spans="1:6" s="10" customFormat="1" x14ac:dyDescent="0.3">
      <c r="A787" s="9"/>
    </row>
    <row r="788" spans="1:6" s="10" customFormat="1" x14ac:dyDescent="0.3">
      <c r="A788" s="9"/>
    </row>
    <row r="789" spans="1:6" s="10" customFormat="1" x14ac:dyDescent="0.3">
      <c r="F789" s="9"/>
    </row>
    <row r="790" spans="1:6" s="10" customFormat="1" x14ac:dyDescent="0.3">
      <c r="F790" s="9"/>
    </row>
    <row r="791" spans="1:6" s="10" customFormat="1" x14ac:dyDescent="0.3">
      <c r="A791" s="9"/>
    </row>
    <row r="792" spans="1:6" s="10" customFormat="1" x14ac:dyDescent="0.3">
      <c r="A792" s="9"/>
    </row>
    <row r="793" spans="1:6" s="10" customFormat="1" x14ac:dyDescent="0.3">
      <c r="A793" s="9"/>
    </row>
    <row r="794" spans="1:6" s="10" customFormat="1" x14ac:dyDescent="0.3">
      <c r="A794" s="9"/>
    </row>
    <row r="795" spans="1:6" s="10" customFormat="1" x14ac:dyDescent="0.3">
      <c r="A795" s="9"/>
    </row>
    <row r="796" spans="1:6" s="10" customFormat="1" x14ac:dyDescent="0.3">
      <c r="F796" s="9"/>
    </row>
    <row r="797" spans="1:6" s="10" customFormat="1" x14ac:dyDescent="0.3">
      <c r="F797" s="9"/>
    </row>
    <row r="798" spans="1:6" s="10" customFormat="1" x14ac:dyDescent="0.3">
      <c r="F798" s="9"/>
    </row>
    <row r="799" spans="1:6" s="10" customFormat="1" x14ac:dyDescent="0.3">
      <c r="F799" s="9"/>
    </row>
    <row r="800" spans="1:6" s="10" customFormat="1" x14ac:dyDescent="0.3">
      <c r="A800" s="9"/>
    </row>
    <row r="801" spans="1:6" s="10" customFormat="1" x14ac:dyDescent="0.3">
      <c r="A801" s="9"/>
    </row>
    <row r="802" spans="1:6" s="10" customFormat="1" x14ac:dyDescent="0.3">
      <c r="A802" s="9"/>
    </row>
    <row r="803" spans="1:6" s="10" customFormat="1" x14ac:dyDescent="0.3">
      <c r="A803" s="9"/>
    </row>
    <row r="804" spans="1:6" s="10" customFormat="1" x14ac:dyDescent="0.3">
      <c r="A804" s="9"/>
    </row>
    <row r="805" spans="1:6" s="10" customFormat="1" x14ac:dyDescent="0.3">
      <c r="F805" s="9"/>
    </row>
    <row r="806" spans="1:6" s="10" customFormat="1" x14ac:dyDescent="0.3">
      <c r="F806" s="9"/>
    </row>
    <row r="807" spans="1:6" s="10" customFormat="1" x14ac:dyDescent="0.3">
      <c r="A807" s="9"/>
    </row>
    <row r="808" spans="1:6" s="10" customFormat="1" x14ac:dyDescent="0.3">
      <c r="A808" s="9"/>
    </row>
    <row r="809" spans="1:6" s="10" customFormat="1" x14ac:dyDescent="0.3">
      <c r="F809" s="9"/>
    </row>
    <row r="810" spans="1:6" s="10" customFormat="1" x14ac:dyDescent="0.3">
      <c r="F810" s="9"/>
    </row>
    <row r="811" spans="1:6" s="10" customFormat="1" x14ac:dyDescent="0.3">
      <c r="A811" s="9"/>
    </row>
    <row r="812" spans="1:6" s="10" customFormat="1" x14ac:dyDescent="0.3">
      <c r="A812" s="9"/>
    </row>
    <row r="813" spans="1:6" s="10" customFormat="1" x14ac:dyDescent="0.3">
      <c r="A813" s="9"/>
    </row>
    <row r="814" spans="1:6" s="10" customFormat="1" x14ac:dyDescent="0.3">
      <c r="F814" s="9"/>
    </row>
    <row r="815" spans="1:6" s="10" customFormat="1" x14ac:dyDescent="0.3">
      <c r="A815" s="9"/>
    </row>
    <row r="816" spans="1:6" s="10" customFormat="1" x14ac:dyDescent="0.3">
      <c r="A816" s="9"/>
    </row>
    <row r="817" spans="1:6" s="10" customFormat="1" x14ac:dyDescent="0.3">
      <c r="F817" s="9"/>
    </row>
    <row r="818" spans="1:6" s="10" customFormat="1" x14ac:dyDescent="0.3">
      <c r="F818" s="9"/>
    </row>
    <row r="819" spans="1:6" s="10" customFormat="1" x14ac:dyDescent="0.3">
      <c r="F819" s="9"/>
    </row>
    <row r="820" spans="1:6" s="10" customFormat="1" x14ac:dyDescent="0.3">
      <c r="A820" s="9"/>
    </row>
    <row r="821" spans="1:6" s="10" customFormat="1" x14ac:dyDescent="0.3">
      <c r="A821" s="9"/>
    </row>
    <row r="822" spans="1:6" s="10" customFormat="1" x14ac:dyDescent="0.3">
      <c r="A822" s="9"/>
    </row>
    <row r="823" spans="1:6" s="10" customFormat="1" x14ac:dyDescent="0.3">
      <c r="F823" s="9"/>
    </row>
    <row r="824" spans="1:6" s="10" customFormat="1" x14ac:dyDescent="0.3">
      <c r="F824" s="9"/>
    </row>
    <row r="825" spans="1:6" s="10" customFormat="1" x14ac:dyDescent="0.3">
      <c r="A825" s="9"/>
    </row>
    <row r="826" spans="1:6" s="10" customFormat="1" x14ac:dyDescent="0.3">
      <c r="A826" s="9"/>
    </row>
    <row r="827" spans="1:6" s="10" customFormat="1" x14ac:dyDescent="0.3">
      <c r="A827" s="9"/>
    </row>
    <row r="828" spans="1:6" s="10" customFormat="1" x14ac:dyDescent="0.3">
      <c r="A828" s="9"/>
    </row>
    <row r="829" spans="1:6" s="10" customFormat="1" x14ac:dyDescent="0.3">
      <c r="F829" s="9"/>
    </row>
    <row r="830" spans="1:6" s="10" customFormat="1" x14ac:dyDescent="0.3">
      <c r="A830" s="9"/>
    </row>
    <row r="831" spans="1:6" s="10" customFormat="1" x14ac:dyDescent="0.3">
      <c r="A831" s="9"/>
    </row>
    <row r="832" spans="1:6" s="10" customFormat="1" x14ac:dyDescent="0.3">
      <c r="F832" s="9"/>
    </row>
    <row r="833" spans="1:6" s="10" customFormat="1" x14ac:dyDescent="0.3">
      <c r="F833" s="9"/>
    </row>
    <row r="834" spans="1:6" s="10" customFormat="1" x14ac:dyDescent="0.3">
      <c r="F834" s="9"/>
    </row>
    <row r="835" spans="1:6" s="10" customFormat="1" x14ac:dyDescent="0.3">
      <c r="A835" s="9"/>
    </row>
    <row r="836" spans="1:6" s="10" customFormat="1" x14ac:dyDescent="0.3">
      <c r="A836" s="9"/>
    </row>
    <row r="837" spans="1:6" s="10" customFormat="1" x14ac:dyDescent="0.3">
      <c r="F837" s="9"/>
    </row>
    <row r="838" spans="1:6" s="10" customFormat="1" x14ac:dyDescent="0.3">
      <c r="A838" s="9"/>
    </row>
    <row r="839" spans="1:6" s="10" customFormat="1" x14ac:dyDescent="0.3">
      <c r="A839" s="9"/>
    </row>
    <row r="840" spans="1:6" s="10" customFormat="1" x14ac:dyDescent="0.3">
      <c r="F840" s="9"/>
    </row>
    <row r="841" spans="1:6" s="10" customFormat="1" x14ac:dyDescent="0.3">
      <c r="F841" s="9"/>
    </row>
    <row r="842" spans="1:6" s="10" customFormat="1" x14ac:dyDescent="0.3">
      <c r="F842" s="9"/>
    </row>
    <row r="843" spans="1:6" s="10" customFormat="1" x14ac:dyDescent="0.3">
      <c r="A843" s="9"/>
    </row>
    <row r="844" spans="1:6" s="10" customFormat="1" x14ac:dyDescent="0.3">
      <c r="A844" s="9"/>
    </row>
    <row r="845" spans="1:6" s="10" customFormat="1" x14ac:dyDescent="0.3">
      <c r="F845" s="9"/>
    </row>
    <row r="846" spans="1:6" s="10" customFormat="1" x14ac:dyDescent="0.3">
      <c r="F846" s="9"/>
    </row>
    <row r="847" spans="1:6" s="10" customFormat="1" x14ac:dyDescent="0.3">
      <c r="F847" s="9"/>
    </row>
    <row r="848" spans="1:6" s="10" customFormat="1" x14ac:dyDescent="0.3">
      <c r="F848" s="9"/>
    </row>
    <row r="849" spans="1:6" s="10" customFormat="1" x14ac:dyDescent="0.3">
      <c r="A849" s="9"/>
    </row>
    <row r="850" spans="1:6" s="10" customFormat="1" x14ac:dyDescent="0.3">
      <c r="A850" s="9"/>
    </row>
    <row r="851" spans="1:6" s="10" customFormat="1" x14ac:dyDescent="0.3">
      <c r="F851" s="9"/>
    </row>
    <row r="852" spans="1:6" s="10" customFormat="1" x14ac:dyDescent="0.3">
      <c r="F852" s="9"/>
    </row>
    <row r="853" spans="1:6" s="10" customFormat="1" x14ac:dyDescent="0.3">
      <c r="A853" s="9"/>
    </row>
    <row r="854" spans="1:6" s="10" customFormat="1" x14ac:dyDescent="0.3">
      <c r="A854" s="9"/>
    </row>
    <row r="855" spans="1:6" s="10" customFormat="1" x14ac:dyDescent="0.3">
      <c r="A855" s="9"/>
    </row>
    <row r="856" spans="1:6" s="10" customFormat="1" x14ac:dyDescent="0.3">
      <c r="F856" s="9"/>
    </row>
    <row r="857" spans="1:6" s="10" customFormat="1" x14ac:dyDescent="0.3">
      <c r="F857" s="9"/>
    </row>
    <row r="858" spans="1:6" s="10" customFormat="1" x14ac:dyDescent="0.3">
      <c r="A858" s="9"/>
    </row>
    <row r="859" spans="1:6" s="10" customFormat="1" x14ac:dyDescent="0.3">
      <c r="A859" s="9"/>
    </row>
    <row r="860" spans="1:6" s="10" customFormat="1" x14ac:dyDescent="0.3">
      <c r="A860" s="9"/>
    </row>
    <row r="861" spans="1:6" s="10" customFormat="1" x14ac:dyDescent="0.3">
      <c r="F861" s="9"/>
    </row>
    <row r="862" spans="1:6" s="10" customFormat="1" x14ac:dyDescent="0.3">
      <c r="A862" s="9"/>
    </row>
    <row r="863" spans="1:6" s="10" customFormat="1" x14ac:dyDescent="0.3">
      <c r="A863" s="9"/>
    </row>
    <row r="864" spans="1:6" s="10" customFormat="1" x14ac:dyDescent="0.3">
      <c r="F864" s="9"/>
    </row>
    <row r="865" spans="1:6" s="10" customFormat="1" x14ac:dyDescent="0.3">
      <c r="F865" s="9"/>
    </row>
    <row r="866" spans="1:6" s="10" customFormat="1" x14ac:dyDescent="0.3">
      <c r="F866" s="9"/>
    </row>
    <row r="867" spans="1:6" s="10" customFormat="1" x14ac:dyDescent="0.3">
      <c r="A867" s="9"/>
    </row>
    <row r="868" spans="1:6" s="10" customFormat="1" x14ac:dyDescent="0.3">
      <c r="A868" s="9"/>
    </row>
    <row r="869" spans="1:6" s="10" customFormat="1" x14ac:dyDescent="0.3">
      <c r="A869" s="9"/>
    </row>
    <row r="870" spans="1:6" s="10" customFormat="1" x14ac:dyDescent="0.3">
      <c r="A870" s="9"/>
    </row>
    <row r="871" spans="1:6" s="10" customFormat="1" x14ac:dyDescent="0.3">
      <c r="A871" s="9"/>
    </row>
    <row r="872" spans="1:6" s="10" customFormat="1" x14ac:dyDescent="0.3">
      <c r="A872" s="9"/>
    </row>
    <row r="873" spans="1:6" s="10" customFormat="1" x14ac:dyDescent="0.3">
      <c r="F873" s="9"/>
    </row>
    <row r="874" spans="1:6" s="10" customFormat="1" x14ac:dyDescent="0.3">
      <c r="A874" s="9"/>
    </row>
    <row r="875" spans="1:6" s="10" customFormat="1" x14ac:dyDescent="0.3">
      <c r="F875" s="9"/>
    </row>
    <row r="876" spans="1:6" s="10" customFormat="1" x14ac:dyDescent="0.3">
      <c r="F876" s="9"/>
    </row>
    <row r="877" spans="1:6" s="10" customFormat="1" x14ac:dyDescent="0.3">
      <c r="F877" s="9"/>
    </row>
    <row r="878" spans="1:6" s="10" customFormat="1" x14ac:dyDescent="0.3">
      <c r="A878" s="9"/>
    </row>
    <row r="879" spans="1:6" s="10" customFormat="1" x14ac:dyDescent="0.3">
      <c r="A879" s="9"/>
    </row>
    <row r="880" spans="1:6" s="10" customFormat="1" x14ac:dyDescent="0.3">
      <c r="A880" s="9"/>
    </row>
    <row r="881" spans="1:6" s="10" customFormat="1" x14ac:dyDescent="0.3">
      <c r="A881" s="9"/>
    </row>
    <row r="882" spans="1:6" s="10" customFormat="1" x14ac:dyDescent="0.3">
      <c r="A882" s="9"/>
    </row>
    <row r="883" spans="1:6" s="10" customFormat="1" x14ac:dyDescent="0.3">
      <c r="A883" s="9"/>
    </row>
    <row r="884" spans="1:6" s="10" customFormat="1" x14ac:dyDescent="0.3">
      <c r="A884" s="9"/>
    </row>
    <row r="885" spans="1:6" s="10" customFormat="1" x14ac:dyDescent="0.3">
      <c r="A885" s="9"/>
    </row>
    <row r="886" spans="1:6" s="10" customFormat="1" x14ac:dyDescent="0.3">
      <c r="A886" s="9"/>
    </row>
    <row r="887" spans="1:6" s="10" customFormat="1" x14ac:dyDescent="0.3">
      <c r="F887" s="9"/>
    </row>
    <row r="888" spans="1:6" s="10" customFormat="1" x14ac:dyDescent="0.3">
      <c r="F888" s="9"/>
    </row>
    <row r="889" spans="1:6" s="10" customFormat="1" x14ac:dyDescent="0.3">
      <c r="A889" s="9"/>
    </row>
    <row r="890" spans="1:6" s="10" customFormat="1" x14ac:dyDescent="0.3">
      <c r="A890" s="9"/>
    </row>
    <row r="891" spans="1:6" s="10" customFormat="1" x14ac:dyDescent="0.3">
      <c r="F891" s="9"/>
    </row>
    <row r="892" spans="1:6" s="10" customFormat="1" x14ac:dyDescent="0.3">
      <c r="F892" s="9"/>
    </row>
    <row r="893" spans="1:6" s="10" customFormat="1" x14ac:dyDescent="0.3">
      <c r="F893" s="9"/>
    </row>
    <row r="894" spans="1:6" s="10" customFormat="1" x14ac:dyDescent="0.3">
      <c r="F894" s="9"/>
    </row>
    <row r="895" spans="1:6" s="10" customFormat="1" x14ac:dyDescent="0.3">
      <c r="F895" s="9"/>
    </row>
    <row r="896" spans="1:6" s="10" customFormat="1" x14ac:dyDescent="0.3">
      <c r="F896" s="9"/>
    </row>
    <row r="897" spans="1:6" s="10" customFormat="1" x14ac:dyDescent="0.3">
      <c r="F897" s="9"/>
    </row>
    <row r="898" spans="1:6" s="10" customFormat="1" x14ac:dyDescent="0.3">
      <c r="F898" s="9"/>
    </row>
    <row r="899" spans="1:6" s="10" customFormat="1" x14ac:dyDescent="0.3">
      <c r="F899" s="9"/>
    </row>
    <row r="900" spans="1:6" s="10" customFormat="1" x14ac:dyDescent="0.3">
      <c r="F900" s="9"/>
    </row>
    <row r="901" spans="1:6" s="10" customFormat="1" x14ac:dyDescent="0.3">
      <c r="F901" s="9"/>
    </row>
    <row r="902" spans="1:6" s="10" customFormat="1" x14ac:dyDescent="0.3">
      <c r="F902" s="9"/>
    </row>
    <row r="903" spans="1:6" s="10" customFormat="1" x14ac:dyDescent="0.3">
      <c r="F903" s="9"/>
    </row>
    <row r="904" spans="1:6" s="10" customFormat="1" x14ac:dyDescent="0.3">
      <c r="A904" s="9"/>
    </row>
    <row r="905" spans="1:6" s="10" customFormat="1" x14ac:dyDescent="0.3">
      <c r="A905" s="9"/>
    </row>
    <row r="906" spans="1:6" s="10" customFormat="1" x14ac:dyDescent="0.3">
      <c r="A906" s="9"/>
    </row>
    <row r="907" spans="1:6" s="10" customFormat="1" x14ac:dyDescent="0.3">
      <c r="A907" s="9"/>
    </row>
    <row r="908" spans="1:6" s="10" customFormat="1" x14ac:dyDescent="0.3">
      <c r="A908" s="9"/>
    </row>
    <row r="909" spans="1:6" s="10" customFormat="1" x14ac:dyDescent="0.3">
      <c r="A909" s="9"/>
    </row>
    <row r="910" spans="1:6" s="10" customFormat="1" x14ac:dyDescent="0.3">
      <c r="A910" s="9"/>
    </row>
    <row r="911" spans="1:6" s="10" customFormat="1" x14ac:dyDescent="0.3">
      <c r="A911" s="9"/>
    </row>
    <row r="912" spans="1:6" s="10" customFormat="1" x14ac:dyDescent="0.3">
      <c r="A912" s="9"/>
    </row>
    <row r="913" spans="1:6" s="10" customFormat="1" x14ac:dyDescent="0.3">
      <c r="A913" s="9"/>
    </row>
    <row r="914" spans="1:6" s="10" customFormat="1" x14ac:dyDescent="0.3">
      <c r="A914" s="9"/>
    </row>
    <row r="915" spans="1:6" s="10" customFormat="1" x14ac:dyDescent="0.3">
      <c r="A915" s="9"/>
    </row>
    <row r="916" spans="1:6" s="10" customFormat="1" x14ac:dyDescent="0.3">
      <c r="A916" s="9"/>
    </row>
    <row r="917" spans="1:6" s="10" customFormat="1" x14ac:dyDescent="0.3">
      <c r="A917" s="9"/>
    </row>
    <row r="918" spans="1:6" s="10" customFormat="1" x14ac:dyDescent="0.3">
      <c r="A918" s="9"/>
    </row>
    <row r="919" spans="1:6" s="10" customFormat="1" x14ac:dyDescent="0.3">
      <c r="A919" s="9"/>
    </row>
    <row r="920" spans="1:6" s="10" customFormat="1" x14ac:dyDescent="0.3">
      <c r="A920" s="9"/>
    </row>
    <row r="921" spans="1:6" s="10" customFormat="1" x14ac:dyDescent="0.3">
      <c r="A921" s="9"/>
    </row>
    <row r="922" spans="1:6" s="10" customFormat="1" x14ac:dyDescent="0.3">
      <c r="A922" s="9"/>
    </row>
    <row r="923" spans="1:6" s="10" customFormat="1" x14ac:dyDescent="0.3">
      <c r="A923" s="9"/>
    </row>
    <row r="924" spans="1:6" s="10" customFormat="1" x14ac:dyDescent="0.3">
      <c r="A924" s="9"/>
    </row>
    <row r="925" spans="1:6" s="10" customFormat="1" x14ac:dyDescent="0.3">
      <c r="F925" s="9"/>
    </row>
    <row r="926" spans="1:6" s="10" customFormat="1" x14ac:dyDescent="0.3">
      <c r="F926" s="9"/>
    </row>
    <row r="927" spans="1:6" s="10" customFormat="1" x14ac:dyDescent="0.3">
      <c r="F927" s="9"/>
    </row>
    <row r="928" spans="1:6" s="10" customFormat="1" x14ac:dyDescent="0.3">
      <c r="A928" s="9"/>
    </row>
    <row r="929" spans="1:6" s="10" customFormat="1" x14ac:dyDescent="0.3">
      <c r="A929" s="9"/>
    </row>
    <row r="930" spans="1:6" s="10" customFormat="1" x14ac:dyDescent="0.3">
      <c r="F930" s="9"/>
    </row>
    <row r="931" spans="1:6" s="10" customFormat="1" x14ac:dyDescent="0.3">
      <c r="A931" s="9"/>
    </row>
    <row r="932" spans="1:6" s="10" customFormat="1" x14ac:dyDescent="0.3">
      <c r="A932" s="9"/>
    </row>
    <row r="933" spans="1:6" s="10" customFormat="1" x14ac:dyDescent="0.3">
      <c r="A933" s="9"/>
    </row>
    <row r="934" spans="1:6" s="10" customFormat="1" x14ac:dyDescent="0.3">
      <c r="A934" s="9"/>
    </row>
    <row r="935" spans="1:6" s="10" customFormat="1" x14ac:dyDescent="0.3">
      <c r="A935" s="9"/>
    </row>
    <row r="936" spans="1:6" s="10" customFormat="1" x14ac:dyDescent="0.3">
      <c r="F936" s="9"/>
    </row>
    <row r="937" spans="1:6" s="10" customFormat="1" x14ac:dyDescent="0.3">
      <c r="A937" s="9"/>
    </row>
    <row r="938" spans="1:6" s="10" customFormat="1" x14ac:dyDescent="0.3">
      <c r="F938" s="9"/>
    </row>
    <row r="939" spans="1:6" s="10" customFormat="1" x14ac:dyDescent="0.3">
      <c r="F939" s="9"/>
    </row>
    <row r="940" spans="1:6" s="10" customFormat="1" x14ac:dyDescent="0.3">
      <c r="F940" s="9"/>
    </row>
    <row r="941" spans="1:6" s="10" customFormat="1" x14ac:dyDescent="0.3">
      <c r="A941" s="9"/>
    </row>
    <row r="942" spans="1:6" s="10" customFormat="1" x14ac:dyDescent="0.3">
      <c r="F942" s="9"/>
    </row>
    <row r="943" spans="1:6" s="10" customFormat="1" x14ac:dyDescent="0.3">
      <c r="A943" s="9"/>
    </row>
    <row r="944" spans="1:6" s="10" customFormat="1" x14ac:dyDescent="0.3">
      <c r="A944" s="9"/>
    </row>
    <row r="945" spans="1:6" s="10" customFormat="1" x14ac:dyDescent="0.3">
      <c r="A945" s="9"/>
    </row>
    <row r="946" spans="1:6" s="10" customFormat="1" x14ac:dyDescent="0.3">
      <c r="F946" s="9"/>
    </row>
    <row r="947" spans="1:6" s="10" customFormat="1" x14ac:dyDescent="0.3">
      <c r="F947" s="9"/>
    </row>
    <row r="948" spans="1:6" s="10" customFormat="1" x14ac:dyDescent="0.3">
      <c r="F948" s="9"/>
    </row>
    <row r="949" spans="1:6" s="10" customFormat="1" x14ac:dyDescent="0.3">
      <c r="F949" s="9"/>
    </row>
    <row r="950" spans="1:6" s="10" customFormat="1" x14ac:dyDescent="0.3">
      <c r="F950" s="9"/>
    </row>
    <row r="951" spans="1:6" s="10" customFormat="1" x14ac:dyDescent="0.3">
      <c r="F951" s="9"/>
    </row>
    <row r="952" spans="1:6" s="10" customFormat="1" x14ac:dyDescent="0.3">
      <c r="A952" s="9"/>
    </row>
    <row r="953" spans="1:6" s="10" customFormat="1" x14ac:dyDescent="0.3">
      <c r="F953" s="9"/>
    </row>
    <row r="954" spans="1:6" s="10" customFormat="1" x14ac:dyDescent="0.3">
      <c r="F954" s="9"/>
    </row>
    <row r="955" spans="1:6" s="10" customFormat="1" x14ac:dyDescent="0.3">
      <c r="A955" s="9"/>
    </row>
    <row r="956" spans="1:6" s="10" customFormat="1" x14ac:dyDescent="0.3">
      <c r="F956" s="9"/>
    </row>
    <row r="957" spans="1:6" s="10" customFormat="1" x14ac:dyDescent="0.3">
      <c r="F957" s="9"/>
    </row>
    <row r="958" spans="1:6" s="10" customFormat="1" x14ac:dyDescent="0.3">
      <c r="A958" s="9"/>
    </row>
    <row r="959" spans="1:6" s="10" customFormat="1" x14ac:dyDescent="0.3">
      <c r="A959" s="9"/>
    </row>
    <row r="960" spans="1:6" s="10" customFormat="1" x14ac:dyDescent="0.3">
      <c r="F960" s="9"/>
    </row>
    <row r="961" spans="1:6" s="10" customFormat="1" x14ac:dyDescent="0.3">
      <c r="A961" s="9"/>
    </row>
    <row r="962" spans="1:6" s="10" customFormat="1" x14ac:dyDescent="0.3">
      <c r="A962" s="9"/>
    </row>
    <row r="963" spans="1:6" s="10" customFormat="1" x14ac:dyDescent="0.3">
      <c r="A963" s="9"/>
    </row>
    <row r="964" spans="1:6" s="10" customFormat="1" x14ac:dyDescent="0.3">
      <c r="A964" s="9"/>
    </row>
    <row r="965" spans="1:6" s="10" customFormat="1" x14ac:dyDescent="0.3">
      <c r="F965" s="9"/>
    </row>
    <row r="966" spans="1:6" s="10" customFormat="1" x14ac:dyDescent="0.3">
      <c r="F966" s="9"/>
    </row>
    <row r="967" spans="1:6" s="10" customFormat="1" x14ac:dyDescent="0.3">
      <c r="F967" s="9"/>
    </row>
    <row r="968" spans="1:6" s="10" customFormat="1" x14ac:dyDescent="0.3">
      <c r="F968" s="9"/>
    </row>
    <row r="969" spans="1:6" s="10" customFormat="1" x14ac:dyDescent="0.3">
      <c r="F969" s="9"/>
    </row>
    <row r="970" spans="1:6" s="10" customFormat="1" x14ac:dyDescent="0.3">
      <c r="F970" s="9"/>
    </row>
    <row r="971" spans="1:6" s="10" customFormat="1" x14ac:dyDescent="0.3">
      <c r="F971" s="9"/>
    </row>
    <row r="972" spans="1:6" s="10" customFormat="1" x14ac:dyDescent="0.3">
      <c r="A972" s="9"/>
    </row>
    <row r="973" spans="1:6" s="10" customFormat="1" x14ac:dyDescent="0.3">
      <c r="F973" s="9"/>
    </row>
    <row r="974" spans="1:6" s="10" customFormat="1" x14ac:dyDescent="0.3">
      <c r="F974" s="9"/>
    </row>
    <row r="975" spans="1:6" s="10" customFormat="1" x14ac:dyDescent="0.3">
      <c r="A975" s="9"/>
    </row>
    <row r="976" spans="1:6" s="10" customFormat="1" x14ac:dyDescent="0.3">
      <c r="F976" s="9"/>
    </row>
    <row r="977" spans="1:6" s="10" customFormat="1" x14ac:dyDescent="0.3">
      <c r="F977" s="9"/>
    </row>
    <row r="978" spans="1:6" s="10" customFormat="1" x14ac:dyDescent="0.3">
      <c r="F978" s="9"/>
    </row>
    <row r="979" spans="1:6" s="10" customFormat="1" x14ac:dyDescent="0.3">
      <c r="A979" s="9"/>
    </row>
    <row r="980" spans="1:6" s="10" customFormat="1" x14ac:dyDescent="0.3">
      <c r="A980" s="9"/>
    </row>
    <row r="981" spans="1:6" s="10" customFormat="1" x14ac:dyDescent="0.3">
      <c r="A981" s="9"/>
    </row>
    <row r="982" spans="1:6" s="10" customFormat="1" x14ac:dyDescent="0.3">
      <c r="F982" s="9"/>
    </row>
    <row r="983" spans="1:6" s="10" customFormat="1" x14ac:dyDescent="0.3">
      <c r="F983" s="9"/>
    </row>
    <row r="984" spans="1:6" s="10" customFormat="1" x14ac:dyDescent="0.3">
      <c r="A984" s="9"/>
    </row>
    <row r="985" spans="1:6" s="10" customFormat="1" x14ac:dyDescent="0.3">
      <c r="A985" s="9"/>
    </row>
    <row r="986" spans="1:6" s="10" customFormat="1" x14ac:dyDescent="0.3">
      <c r="F986" s="9"/>
    </row>
    <row r="987" spans="1:6" s="10" customFormat="1" x14ac:dyDescent="0.3">
      <c r="A987" s="9"/>
    </row>
    <row r="988" spans="1:6" s="10" customFormat="1" x14ac:dyDescent="0.3">
      <c r="A988" s="9"/>
    </row>
    <row r="989" spans="1:6" s="10" customFormat="1" x14ac:dyDescent="0.3">
      <c r="A989" s="9"/>
    </row>
    <row r="990" spans="1:6" s="10" customFormat="1" x14ac:dyDescent="0.3">
      <c r="A990" s="9"/>
    </row>
    <row r="991" spans="1:6" s="10" customFormat="1" x14ac:dyDescent="0.3">
      <c r="A991" s="9"/>
    </row>
    <row r="992" spans="1:6" s="10" customFormat="1" x14ac:dyDescent="0.3">
      <c r="F992" s="9"/>
    </row>
    <row r="993" spans="1:6" s="10" customFormat="1" x14ac:dyDescent="0.3">
      <c r="F993" s="9"/>
    </row>
    <row r="994" spans="1:6" s="10" customFormat="1" x14ac:dyDescent="0.3">
      <c r="A994" s="9"/>
    </row>
    <row r="995" spans="1:6" s="10" customFormat="1" x14ac:dyDescent="0.3">
      <c r="A995" s="9"/>
    </row>
    <row r="996" spans="1:6" s="10" customFormat="1" x14ac:dyDescent="0.3">
      <c r="F996" s="9"/>
    </row>
    <row r="997" spans="1:6" s="10" customFormat="1" x14ac:dyDescent="0.3">
      <c r="A997" s="9"/>
    </row>
    <row r="998" spans="1:6" s="10" customFormat="1" x14ac:dyDescent="0.3">
      <c r="A998" s="9"/>
    </row>
    <row r="999" spans="1:6" s="10" customFormat="1" x14ac:dyDescent="0.3">
      <c r="A999" s="9"/>
    </row>
    <row r="1000" spans="1:6" s="10" customFormat="1" x14ac:dyDescent="0.3">
      <c r="A1000" s="9"/>
    </row>
    <row r="1001" spans="1:6" s="10" customFormat="1" x14ac:dyDescent="0.3">
      <c r="A1001" s="9"/>
    </row>
    <row r="1002" spans="1:6" s="10" customFormat="1" x14ac:dyDescent="0.3">
      <c r="F1002" s="9"/>
    </row>
    <row r="1003" spans="1:6" s="10" customFormat="1" x14ac:dyDescent="0.3">
      <c r="F1003" s="9"/>
    </row>
    <row r="1004" spans="1:6" s="10" customFormat="1" x14ac:dyDescent="0.3">
      <c r="A1004" s="9"/>
    </row>
    <row r="1005" spans="1:6" s="10" customFormat="1" x14ac:dyDescent="0.3">
      <c r="F1005" s="9"/>
    </row>
    <row r="1006" spans="1:6" s="10" customFormat="1" x14ac:dyDescent="0.3">
      <c r="F1006" s="9"/>
    </row>
    <row r="1007" spans="1:6" s="10" customFormat="1" x14ac:dyDescent="0.3">
      <c r="F1007" s="9"/>
    </row>
    <row r="1008" spans="1:6" s="10" customFormat="1" x14ac:dyDescent="0.3">
      <c r="F1008" s="9"/>
    </row>
    <row r="1009" spans="1:6" s="10" customFormat="1" x14ac:dyDescent="0.3">
      <c r="F1009" s="9"/>
    </row>
    <row r="1010" spans="1:6" s="10" customFormat="1" x14ac:dyDescent="0.3">
      <c r="A1010" s="9"/>
    </row>
    <row r="1011" spans="1:6" s="10" customFormat="1" x14ac:dyDescent="0.3">
      <c r="A1011" s="9"/>
    </row>
    <row r="1012" spans="1:6" s="10" customFormat="1" x14ac:dyDescent="0.3">
      <c r="F1012" s="9"/>
    </row>
    <row r="1013" spans="1:6" s="10" customFormat="1" x14ac:dyDescent="0.3">
      <c r="A1013" s="9"/>
    </row>
    <row r="1014" spans="1:6" s="10" customFormat="1" x14ac:dyDescent="0.3">
      <c r="A1014" s="9"/>
    </row>
    <row r="1015" spans="1:6" s="10" customFormat="1" x14ac:dyDescent="0.3">
      <c r="A1015" s="9"/>
    </row>
    <row r="1016" spans="1:6" s="10" customFormat="1" x14ac:dyDescent="0.3">
      <c r="F1016" s="9"/>
    </row>
    <row r="1017" spans="1:6" s="10" customFormat="1" x14ac:dyDescent="0.3">
      <c r="F1017" s="9"/>
    </row>
    <row r="1018" spans="1:6" s="10" customFormat="1" x14ac:dyDescent="0.3">
      <c r="F1018" s="9"/>
    </row>
    <row r="1019" spans="1:6" s="10" customFormat="1" x14ac:dyDescent="0.3">
      <c r="A1019" s="9"/>
    </row>
    <row r="1020" spans="1:6" s="10" customFormat="1" x14ac:dyDescent="0.3">
      <c r="F1020" s="9"/>
    </row>
    <row r="1021" spans="1:6" s="10" customFormat="1" x14ac:dyDescent="0.3">
      <c r="A1021" s="9"/>
    </row>
    <row r="1022" spans="1:6" s="10" customFormat="1" x14ac:dyDescent="0.3">
      <c r="A1022" s="9"/>
    </row>
    <row r="1023" spans="1:6" s="10" customFormat="1" x14ac:dyDescent="0.3">
      <c r="F1023" s="9"/>
    </row>
    <row r="1024" spans="1:6" s="10" customFormat="1" x14ac:dyDescent="0.3">
      <c r="F1024" s="9"/>
    </row>
    <row r="1025" spans="1:6" s="10" customFormat="1" x14ac:dyDescent="0.3">
      <c r="F1025" s="9"/>
    </row>
    <row r="1026" spans="1:6" s="10" customFormat="1" x14ac:dyDescent="0.3">
      <c r="F1026" s="9"/>
    </row>
    <row r="1027" spans="1:6" s="10" customFormat="1" x14ac:dyDescent="0.3">
      <c r="F1027" s="9"/>
    </row>
    <row r="1028" spans="1:6" s="10" customFormat="1" x14ac:dyDescent="0.3">
      <c r="F1028" s="9"/>
    </row>
    <row r="1029" spans="1:6" s="10" customFormat="1" x14ac:dyDescent="0.3">
      <c r="F1029" s="9"/>
    </row>
    <row r="1030" spans="1:6" s="10" customFormat="1" x14ac:dyDescent="0.3">
      <c r="F1030" s="9"/>
    </row>
    <row r="1031" spans="1:6" s="10" customFormat="1" x14ac:dyDescent="0.3">
      <c r="F1031" s="9"/>
    </row>
    <row r="1032" spans="1:6" s="10" customFormat="1" x14ac:dyDescent="0.3">
      <c r="A1032" s="9"/>
    </row>
    <row r="1033" spans="1:6" s="10" customFormat="1" x14ac:dyDescent="0.3">
      <c r="A1033" s="9"/>
    </row>
    <row r="1034" spans="1:6" s="10" customFormat="1" x14ac:dyDescent="0.3">
      <c r="A1034" s="9"/>
    </row>
    <row r="1035" spans="1:6" s="10" customFormat="1" x14ac:dyDescent="0.3">
      <c r="A1035" s="9"/>
    </row>
    <row r="1036" spans="1:6" s="10" customFormat="1" x14ac:dyDescent="0.3">
      <c r="A1036" s="9"/>
    </row>
    <row r="1037" spans="1:6" s="10" customFormat="1" x14ac:dyDescent="0.3">
      <c r="A1037" s="9"/>
    </row>
    <row r="1038" spans="1:6" s="10" customFormat="1" x14ac:dyDescent="0.3">
      <c r="A1038" s="9"/>
    </row>
    <row r="1039" spans="1:6" s="10" customFormat="1" x14ac:dyDescent="0.3">
      <c r="A1039" s="9"/>
    </row>
    <row r="1040" spans="1:6" s="10" customFormat="1" x14ac:dyDescent="0.3">
      <c r="A1040" s="9"/>
    </row>
    <row r="1041" spans="1:1" s="10" customFormat="1" x14ac:dyDescent="0.3">
      <c r="A1041" s="9"/>
    </row>
    <row r="1042" spans="1:1" s="10" customFormat="1" x14ac:dyDescent="0.3">
      <c r="A1042" s="9"/>
    </row>
    <row r="1043" spans="1:1" s="10" customFormat="1" x14ac:dyDescent="0.3">
      <c r="A1043" s="9"/>
    </row>
    <row r="1044" spans="1:1" s="10" customFormat="1" x14ac:dyDescent="0.3">
      <c r="A1044" s="9"/>
    </row>
    <row r="1045" spans="1:1" s="10" customFormat="1" x14ac:dyDescent="0.3">
      <c r="A1045" s="9"/>
    </row>
    <row r="1046" spans="1:1" s="10" customFormat="1" x14ac:dyDescent="0.3">
      <c r="A1046" s="9"/>
    </row>
    <row r="1047" spans="1:1" s="10" customFormat="1" x14ac:dyDescent="0.3">
      <c r="A1047" s="9"/>
    </row>
    <row r="1048" spans="1:1" s="10" customFormat="1" x14ac:dyDescent="0.3">
      <c r="A1048" s="9"/>
    </row>
    <row r="1049" spans="1:1" s="10" customFormat="1" x14ac:dyDescent="0.3">
      <c r="A1049" s="9"/>
    </row>
    <row r="1050" spans="1:1" s="10" customFormat="1" x14ac:dyDescent="0.3">
      <c r="A1050" s="9"/>
    </row>
    <row r="1051" spans="1:1" s="10" customFormat="1" x14ac:dyDescent="0.3">
      <c r="A1051" s="9"/>
    </row>
    <row r="1052" spans="1:1" s="10" customFormat="1" x14ac:dyDescent="0.3">
      <c r="A1052" s="9"/>
    </row>
    <row r="1053" spans="1:1" s="10" customFormat="1" x14ac:dyDescent="0.3">
      <c r="A1053" s="9"/>
    </row>
    <row r="1054" spans="1:1" s="10" customFormat="1" x14ac:dyDescent="0.3">
      <c r="A1054" s="9"/>
    </row>
    <row r="1055" spans="1:1" s="10" customFormat="1" x14ac:dyDescent="0.3">
      <c r="A1055" s="9"/>
    </row>
    <row r="1056" spans="1:1" s="10" customFormat="1" x14ac:dyDescent="0.3">
      <c r="A1056" s="9"/>
    </row>
    <row r="1057" spans="1:1" s="10" customFormat="1" x14ac:dyDescent="0.3">
      <c r="A1057" s="9"/>
    </row>
    <row r="1058" spans="1:1" s="10" customFormat="1" x14ac:dyDescent="0.3">
      <c r="A1058" s="9"/>
    </row>
    <row r="1059" spans="1:1" s="10" customFormat="1" x14ac:dyDescent="0.3">
      <c r="A1059" s="9"/>
    </row>
    <row r="1060" spans="1:1" s="10" customFormat="1" x14ac:dyDescent="0.3">
      <c r="A1060" s="9"/>
    </row>
    <row r="1061" spans="1:1" s="10" customFormat="1" x14ac:dyDescent="0.3">
      <c r="A1061" s="9"/>
    </row>
    <row r="1062" spans="1:1" s="10" customFormat="1" x14ac:dyDescent="0.3">
      <c r="A1062" s="9"/>
    </row>
    <row r="1063" spans="1:1" s="10" customFormat="1" x14ac:dyDescent="0.3">
      <c r="A1063" s="9"/>
    </row>
    <row r="1064" spans="1:1" s="10" customFormat="1" x14ac:dyDescent="0.3">
      <c r="A1064" s="9"/>
    </row>
    <row r="1065" spans="1:1" s="10" customFormat="1" x14ac:dyDescent="0.3">
      <c r="A1065" s="9"/>
    </row>
    <row r="1066" spans="1:1" s="10" customFormat="1" x14ac:dyDescent="0.3">
      <c r="A1066" s="9"/>
    </row>
    <row r="1067" spans="1:1" s="10" customFormat="1" x14ac:dyDescent="0.3">
      <c r="A1067" s="9"/>
    </row>
    <row r="1068" spans="1:1" s="10" customFormat="1" x14ac:dyDescent="0.3">
      <c r="A1068" s="9"/>
    </row>
    <row r="1069" spans="1:1" s="10" customFormat="1" x14ac:dyDescent="0.3">
      <c r="A1069" s="9"/>
    </row>
    <row r="1070" spans="1:1" s="10" customFormat="1" x14ac:dyDescent="0.3">
      <c r="A1070" s="9"/>
    </row>
    <row r="1071" spans="1:1" s="10" customFormat="1" x14ac:dyDescent="0.3">
      <c r="A1071" s="9"/>
    </row>
    <row r="1072" spans="1:1" s="10" customFormat="1" x14ac:dyDescent="0.3">
      <c r="A1072" s="9"/>
    </row>
    <row r="1073" spans="1:1" s="10" customFormat="1" x14ac:dyDescent="0.3">
      <c r="A1073" s="9"/>
    </row>
    <row r="1074" spans="1:1" s="10" customFormat="1" x14ac:dyDescent="0.3">
      <c r="A1074" s="9"/>
    </row>
    <row r="1075" spans="1:1" s="10" customFormat="1" x14ac:dyDescent="0.3">
      <c r="A1075" s="9"/>
    </row>
    <row r="1076" spans="1:1" s="10" customFormat="1" x14ac:dyDescent="0.3">
      <c r="A1076" s="9"/>
    </row>
    <row r="1077" spans="1:1" s="10" customFormat="1" x14ac:dyDescent="0.3">
      <c r="A1077" s="9"/>
    </row>
    <row r="1078" spans="1:1" s="10" customFormat="1" x14ac:dyDescent="0.3">
      <c r="A1078" s="9"/>
    </row>
    <row r="1079" spans="1:1" s="10" customFormat="1" x14ac:dyDescent="0.3">
      <c r="A1079" s="9"/>
    </row>
    <row r="1080" spans="1:1" s="10" customFormat="1" x14ac:dyDescent="0.3">
      <c r="A1080" s="9"/>
    </row>
    <row r="1081" spans="1:1" s="10" customFormat="1" x14ac:dyDescent="0.3">
      <c r="A1081" s="9"/>
    </row>
    <row r="1082" spans="1:1" s="10" customFormat="1" x14ac:dyDescent="0.3">
      <c r="A1082" s="9"/>
    </row>
    <row r="1083" spans="1:1" s="10" customFormat="1" x14ac:dyDescent="0.3">
      <c r="A1083" s="9"/>
    </row>
    <row r="1084" spans="1:1" s="10" customFormat="1" x14ac:dyDescent="0.3">
      <c r="A1084" s="9"/>
    </row>
    <row r="1085" spans="1:1" s="10" customFormat="1" x14ac:dyDescent="0.3">
      <c r="A1085" s="9"/>
    </row>
    <row r="1086" spans="1:1" s="10" customFormat="1" x14ac:dyDescent="0.3">
      <c r="A1086" s="9"/>
    </row>
    <row r="1087" spans="1:1" s="10" customFormat="1" x14ac:dyDescent="0.3">
      <c r="A1087" s="9"/>
    </row>
    <row r="1088" spans="1:1" s="10" customFormat="1" x14ac:dyDescent="0.3">
      <c r="A1088" s="9"/>
    </row>
    <row r="1089" spans="1:6" s="10" customFormat="1" x14ac:dyDescent="0.3">
      <c r="A1089" s="9"/>
    </row>
    <row r="1090" spans="1:6" s="10" customFormat="1" x14ac:dyDescent="0.3">
      <c r="A1090" s="9"/>
    </row>
    <row r="1091" spans="1:6" s="10" customFormat="1" x14ac:dyDescent="0.3">
      <c r="A1091" s="9"/>
    </row>
    <row r="1092" spans="1:6" s="10" customFormat="1" x14ac:dyDescent="0.3">
      <c r="F1092" s="9"/>
    </row>
    <row r="1093" spans="1:6" s="10" customFormat="1" x14ac:dyDescent="0.3">
      <c r="F1093" s="9"/>
    </row>
    <row r="1094" spans="1:6" s="10" customFormat="1" x14ac:dyDescent="0.3">
      <c r="A1094" s="9"/>
    </row>
    <row r="1095" spans="1:6" s="10" customFormat="1" x14ac:dyDescent="0.3">
      <c r="A1095" s="9"/>
    </row>
    <row r="1096" spans="1:6" s="10" customFormat="1" x14ac:dyDescent="0.3">
      <c r="F1096" s="9"/>
    </row>
    <row r="1097" spans="1:6" s="10" customFormat="1" x14ac:dyDescent="0.3">
      <c r="F1097" s="9"/>
    </row>
    <row r="1098" spans="1:6" s="10" customFormat="1" x14ac:dyDescent="0.3">
      <c r="A1098" s="9"/>
    </row>
    <row r="1099" spans="1:6" s="10" customFormat="1" x14ac:dyDescent="0.3">
      <c r="A1099" s="9"/>
    </row>
    <row r="1100" spans="1:6" s="10" customFormat="1" x14ac:dyDescent="0.3">
      <c r="F1100" s="9"/>
    </row>
    <row r="1101" spans="1:6" s="10" customFormat="1" x14ac:dyDescent="0.3">
      <c r="F1101" s="9"/>
    </row>
    <row r="1102" spans="1:6" s="10" customFormat="1" x14ac:dyDescent="0.3">
      <c r="A1102" s="9"/>
    </row>
    <row r="1103" spans="1:6" s="10" customFormat="1" x14ac:dyDescent="0.3">
      <c r="A1103" s="9"/>
    </row>
    <row r="1104" spans="1:6" s="10" customFormat="1" x14ac:dyDescent="0.3">
      <c r="F1104" s="9"/>
    </row>
    <row r="1105" spans="1:6" s="10" customFormat="1" x14ac:dyDescent="0.3">
      <c r="F1105" s="9"/>
    </row>
    <row r="1106" spans="1:6" s="10" customFormat="1" x14ac:dyDescent="0.3">
      <c r="A1106" s="9"/>
    </row>
    <row r="1107" spans="1:6" s="10" customFormat="1" x14ac:dyDescent="0.3">
      <c r="A1107" s="9"/>
    </row>
    <row r="1108" spans="1:6" s="10" customFormat="1" x14ac:dyDescent="0.3">
      <c r="F1108" s="9"/>
    </row>
    <row r="1109" spans="1:6" s="10" customFormat="1" x14ac:dyDescent="0.3">
      <c r="A1109" s="9"/>
    </row>
    <row r="1110" spans="1:6" s="10" customFormat="1" x14ac:dyDescent="0.3">
      <c r="A1110" s="9"/>
    </row>
    <row r="1111" spans="1:6" s="10" customFormat="1" x14ac:dyDescent="0.3">
      <c r="F1111" s="9"/>
    </row>
    <row r="1112" spans="1:6" s="10" customFormat="1" x14ac:dyDescent="0.3">
      <c r="F1112" s="9"/>
    </row>
    <row r="1113" spans="1:6" s="10" customFormat="1" x14ac:dyDescent="0.3">
      <c r="F1113" s="9"/>
    </row>
    <row r="1114" spans="1:6" s="10" customFormat="1" x14ac:dyDescent="0.3">
      <c r="A1114" s="9"/>
    </row>
    <row r="1115" spans="1:6" s="10" customFormat="1" x14ac:dyDescent="0.3">
      <c r="A1115" s="9"/>
    </row>
    <row r="1116" spans="1:6" s="10" customFormat="1" x14ac:dyDescent="0.3">
      <c r="A1116" s="9"/>
    </row>
    <row r="1117" spans="1:6" s="10" customFormat="1" x14ac:dyDescent="0.3">
      <c r="A1117" s="9"/>
    </row>
    <row r="1118" spans="1:6" s="10" customFormat="1" x14ac:dyDescent="0.3">
      <c r="A1118" s="9"/>
    </row>
    <row r="1119" spans="1:6" s="10" customFormat="1" x14ac:dyDescent="0.3">
      <c r="A1119" s="9"/>
    </row>
    <row r="1120" spans="1:6" s="10" customFormat="1" x14ac:dyDescent="0.3">
      <c r="A1120" s="9"/>
    </row>
    <row r="1121" spans="1:1" s="10" customFormat="1" x14ac:dyDescent="0.3">
      <c r="A1121" s="9"/>
    </row>
    <row r="1122" spans="1:1" s="10" customFormat="1" x14ac:dyDescent="0.3">
      <c r="A1122" s="9"/>
    </row>
    <row r="1123" spans="1:1" s="10" customFormat="1" x14ac:dyDescent="0.3">
      <c r="A1123" s="9"/>
    </row>
    <row r="1124" spans="1:1" s="10" customFormat="1" x14ac:dyDescent="0.3">
      <c r="A1124" s="9"/>
    </row>
    <row r="1125" spans="1:1" s="10" customFormat="1" x14ac:dyDescent="0.3">
      <c r="A1125" s="9"/>
    </row>
    <row r="1126" spans="1:1" s="10" customFormat="1" x14ac:dyDescent="0.3">
      <c r="A1126" s="9"/>
    </row>
    <row r="1127" spans="1:1" s="10" customFormat="1" x14ac:dyDescent="0.3">
      <c r="A1127" s="9"/>
    </row>
    <row r="1128" spans="1:1" s="10" customFormat="1" x14ac:dyDescent="0.3">
      <c r="A1128" s="9"/>
    </row>
    <row r="1129" spans="1:1" s="10" customFormat="1" x14ac:dyDescent="0.3">
      <c r="A1129" s="9"/>
    </row>
    <row r="1130" spans="1:1" s="10" customFormat="1" x14ac:dyDescent="0.3">
      <c r="A1130" s="9"/>
    </row>
    <row r="1131" spans="1:1" s="10" customFormat="1" x14ac:dyDescent="0.3">
      <c r="A1131" s="9"/>
    </row>
    <row r="1132" spans="1:1" s="10" customFormat="1" x14ac:dyDescent="0.3">
      <c r="A1132" s="9"/>
    </row>
    <row r="1133" spans="1:1" s="10" customFormat="1" x14ac:dyDescent="0.3">
      <c r="A1133" s="9"/>
    </row>
    <row r="1134" spans="1:1" s="10" customFormat="1" x14ac:dyDescent="0.3">
      <c r="A1134" s="9"/>
    </row>
    <row r="1135" spans="1:1" s="10" customFormat="1" x14ac:dyDescent="0.3">
      <c r="A1135" s="9"/>
    </row>
    <row r="1136" spans="1:1" s="10" customFormat="1" x14ac:dyDescent="0.3">
      <c r="A1136" s="9"/>
    </row>
    <row r="1137" spans="1:1" s="10" customFormat="1" x14ac:dyDescent="0.3">
      <c r="A1137" s="9"/>
    </row>
    <row r="1138" spans="1:1" s="10" customFormat="1" x14ac:dyDescent="0.3">
      <c r="A1138" s="9"/>
    </row>
    <row r="1139" spans="1:1" s="10" customFormat="1" x14ac:dyDescent="0.3">
      <c r="A1139" s="9"/>
    </row>
    <row r="1140" spans="1:1" s="10" customFormat="1" x14ac:dyDescent="0.3">
      <c r="A1140" s="9"/>
    </row>
    <row r="1141" spans="1:1" s="10" customFormat="1" x14ac:dyDescent="0.3">
      <c r="A1141" s="9"/>
    </row>
    <row r="1142" spans="1:1" s="10" customFormat="1" x14ac:dyDescent="0.3">
      <c r="A1142" s="9"/>
    </row>
    <row r="1143" spans="1:1" s="10" customFormat="1" x14ac:dyDescent="0.3">
      <c r="A1143" s="9"/>
    </row>
    <row r="1144" spans="1:1" s="10" customFormat="1" x14ac:dyDescent="0.3">
      <c r="A1144" s="9"/>
    </row>
    <row r="1145" spans="1:1" s="10" customFormat="1" x14ac:dyDescent="0.3">
      <c r="A1145" s="9"/>
    </row>
    <row r="1146" spans="1:1" s="10" customFormat="1" x14ac:dyDescent="0.3">
      <c r="A1146" s="9"/>
    </row>
    <row r="1147" spans="1:1" s="10" customFormat="1" x14ac:dyDescent="0.3">
      <c r="A1147" s="9"/>
    </row>
    <row r="1148" spans="1:1" s="10" customFormat="1" x14ac:dyDescent="0.3">
      <c r="A1148" s="9"/>
    </row>
    <row r="1149" spans="1:1" s="10" customFormat="1" x14ac:dyDescent="0.3">
      <c r="A1149" s="9"/>
    </row>
    <row r="1150" spans="1:1" s="10" customFormat="1" x14ac:dyDescent="0.3">
      <c r="A1150" s="9"/>
    </row>
    <row r="1151" spans="1:1" s="10" customFormat="1" x14ac:dyDescent="0.3">
      <c r="A1151" s="9"/>
    </row>
    <row r="1152" spans="1:1" s="10" customFormat="1" x14ac:dyDescent="0.3">
      <c r="A1152" s="9"/>
    </row>
    <row r="1153" spans="1:1" s="10" customFormat="1" x14ac:dyDescent="0.3">
      <c r="A1153" s="9"/>
    </row>
    <row r="1154" spans="1:1" s="10" customFormat="1" x14ac:dyDescent="0.3">
      <c r="A1154" s="9"/>
    </row>
    <row r="1155" spans="1:1" s="10" customFormat="1" x14ac:dyDescent="0.3">
      <c r="A1155" s="9"/>
    </row>
    <row r="1156" spans="1:1" s="10" customFormat="1" x14ac:dyDescent="0.3">
      <c r="A1156" s="9"/>
    </row>
    <row r="1157" spans="1:1" s="10" customFormat="1" x14ac:dyDescent="0.3">
      <c r="A1157" s="9"/>
    </row>
    <row r="1158" spans="1:1" s="10" customFormat="1" x14ac:dyDescent="0.3">
      <c r="A1158" s="9"/>
    </row>
    <row r="1159" spans="1:1" s="10" customFormat="1" x14ac:dyDescent="0.3">
      <c r="A1159" s="9"/>
    </row>
    <row r="1160" spans="1:1" s="10" customFormat="1" x14ac:dyDescent="0.3">
      <c r="A1160" s="9"/>
    </row>
    <row r="1161" spans="1:1" s="10" customFormat="1" x14ac:dyDescent="0.3">
      <c r="A1161" s="9"/>
    </row>
    <row r="1162" spans="1:1" s="10" customFormat="1" x14ac:dyDescent="0.3">
      <c r="A1162" s="9"/>
    </row>
    <row r="1163" spans="1:1" s="10" customFormat="1" x14ac:dyDescent="0.3">
      <c r="A1163" s="9"/>
    </row>
    <row r="1164" spans="1:1" s="10" customFormat="1" x14ac:dyDescent="0.3">
      <c r="A1164" s="9"/>
    </row>
    <row r="1165" spans="1:1" s="10" customFormat="1" x14ac:dyDescent="0.3">
      <c r="A1165" s="9"/>
    </row>
    <row r="1166" spans="1:1" s="10" customFormat="1" x14ac:dyDescent="0.3">
      <c r="A1166" s="9"/>
    </row>
    <row r="1167" spans="1:1" s="10" customFormat="1" x14ac:dyDescent="0.3">
      <c r="A1167" s="9"/>
    </row>
    <row r="1168" spans="1:1" s="10" customFormat="1" x14ac:dyDescent="0.3">
      <c r="A1168" s="9"/>
    </row>
    <row r="1169" spans="1:1" s="10" customFormat="1" x14ac:dyDescent="0.3">
      <c r="A1169" s="9"/>
    </row>
    <row r="1170" spans="1:1" s="10" customFormat="1" x14ac:dyDescent="0.3">
      <c r="A1170" s="9"/>
    </row>
    <row r="1171" spans="1:1" s="10" customFormat="1" x14ac:dyDescent="0.3">
      <c r="A1171" s="9"/>
    </row>
    <row r="1172" spans="1:1" s="10" customFormat="1" x14ac:dyDescent="0.3">
      <c r="A1172" s="9"/>
    </row>
    <row r="1173" spans="1:1" s="10" customFormat="1" x14ac:dyDescent="0.3">
      <c r="A1173" s="9"/>
    </row>
    <row r="1174" spans="1:1" s="10" customFormat="1" x14ac:dyDescent="0.3">
      <c r="A1174" s="9"/>
    </row>
    <row r="1175" spans="1:1" s="10" customFormat="1" x14ac:dyDescent="0.3">
      <c r="A1175" s="9"/>
    </row>
    <row r="1176" spans="1:1" s="10" customFormat="1" x14ac:dyDescent="0.3">
      <c r="A1176" s="9"/>
    </row>
    <row r="1177" spans="1:1" s="10" customFormat="1" x14ac:dyDescent="0.3">
      <c r="A1177" s="9"/>
    </row>
    <row r="1178" spans="1:1" s="10" customFormat="1" x14ac:dyDescent="0.3">
      <c r="A1178" s="9"/>
    </row>
    <row r="1179" spans="1:1" s="10" customFormat="1" x14ac:dyDescent="0.3">
      <c r="A1179" s="9"/>
    </row>
    <row r="1180" spans="1:1" s="10" customFormat="1" x14ac:dyDescent="0.3">
      <c r="A1180" s="9"/>
    </row>
    <row r="1181" spans="1:1" s="10" customFormat="1" x14ac:dyDescent="0.3">
      <c r="A1181" s="9"/>
    </row>
    <row r="1182" spans="1:1" s="10" customFormat="1" x14ac:dyDescent="0.3">
      <c r="A1182" s="9"/>
    </row>
    <row r="1183" spans="1:1" s="10" customFormat="1" x14ac:dyDescent="0.3">
      <c r="A1183" s="9"/>
    </row>
    <row r="1184" spans="1:1" s="10" customFormat="1" x14ac:dyDescent="0.3">
      <c r="A1184" s="9"/>
    </row>
    <row r="1185" spans="1:1" s="10" customFormat="1" x14ac:dyDescent="0.3">
      <c r="A1185" s="9"/>
    </row>
    <row r="1186" spans="1:1" s="10" customFormat="1" x14ac:dyDescent="0.3">
      <c r="A1186" s="9"/>
    </row>
    <row r="1187" spans="1:1" s="10" customFormat="1" x14ac:dyDescent="0.3">
      <c r="A1187" s="9"/>
    </row>
    <row r="1188" spans="1:1" s="10" customFormat="1" x14ac:dyDescent="0.3">
      <c r="A1188" s="9"/>
    </row>
    <row r="1189" spans="1:1" s="10" customFormat="1" x14ac:dyDescent="0.3">
      <c r="A1189" s="9"/>
    </row>
    <row r="1190" spans="1:1" s="10" customFormat="1" x14ac:dyDescent="0.3">
      <c r="A1190" s="9"/>
    </row>
    <row r="1191" spans="1:1" s="10" customFormat="1" x14ac:dyDescent="0.3">
      <c r="A1191" s="9"/>
    </row>
    <row r="1192" spans="1:1" s="10" customFormat="1" x14ac:dyDescent="0.3">
      <c r="A1192" s="9"/>
    </row>
    <row r="1193" spans="1:1" s="10" customFormat="1" x14ac:dyDescent="0.3">
      <c r="A1193" s="9"/>
    </row>
    <row r="1194" spans="1:1" s="10" customFormat="1" x14ac:dyDescent="0.3">
      <c r="A1194" s="9"/>
    </row>
    <row r="1195" spans="1:1" s="10" customFormat="1" x14ac:dyDescent="0.3">
      <c r="A1195" s="9"/>
    </row>
    <row r="1196" spans="1:1" s="10" customFormat="1" x14ac:dyDescent="0.3">
      <c r="A1196" s="9"/>
    </row>
    <row r="1197" spans="1:1" s="10" customFormat="1" x14ac:dyDescent="0.3">
      <c r="A1197" s="9"/>
    </row>
    <row r="1198" spans="1:1" s="10" customFormat="1" x14ac:dyDescent="0.3">
      <c r="A1198" s="9"/>
    </row>
    <row r="1199" spans="1:1" s="10" customFormat="1" x14ac:dyDescent="0.3">
      <c r="A1199" s="9"/>
    </row>
    <row r="1200" spans="1:1" s="10" customFormat="1" x14ac:dyDescent="0.3">
      <c r="A1200" s="9"/>
    </row>
    <row r="1201" spans="1:1" s="10" customFormat="1" x14ac:dyDescent="0.3">
      <c r="A1201" s="9"/>
    </row>
    <row r="1202" spans="1:1" s="10" customFormat="1" x14ac:dyDescent="0.3">
      <c r="A1202" s="9"/>
    </row>
    <row r="1203" spans="1:1" s="10" customFormat="1" x14ac:dyDescent="0.3">
      <c r="A1203" s="9"/>
    </row>
    <row r="1204" spans="1:1" s="10" customFormat="1" x14ac:dyDescent="0.3">
      <c r="A1204" s="9"/>
    </row>
    <row r="1205" spans="1:1" s="10" customFormat="1" x14ac:dyDescent="0.3">
      <c r="A1205" s="9"/>
    </row>
    <row r="1206" spans="1:1" s="10" customFormat="1" x14ac:dyDescent="0.3">
      <c r="A1206" s="9"/>
    </row>
    <row r="1207" spans="1:1" s="10" customFormat="1" x14ac:dyDescent="0.3">
      <c r="A1207" s="9"/>
    </row>
    <row r="1208" spans="1:1" s="10" customFormat="1" x14ac:dyDescent="0.3">
      <c r="A1208" s="9"/>
    </row>
    <row r="1209" spans="1:1" s="10" customFormat="1" x14ac:dyDescent="0.3">
      <c r="A1209" s="9"/>
    </row>
    <row r="1210" spans="1:1" s="10" customFormat="1" x14ac:dyDescent="0.3">
      <c r="A1210" s="9"/>
    </row>
    <row r="1211" spans="1:1" s="10" customFormat="1" x14ac:dyDescent="0.3">
      <c r="A1211" s="9"/>
    </row>
    <row r="1212" spans="1:1" s="10" customFormat="1" x14ac:dyDescent="0.3">
      <c r="A1212" s="9"/>
    </row>
    <row r="1213" spans="1:1" s="10" customFormat="1" x14ac:dyDescent="0.3">
      <c r="A1213" s="9"/>
    </row>
    <row r="1214" spans="1:1" s="10" customFormat="1" x14ac:dyDescent="0.3">
      <c r="A1214" s="9"/>
    </row>
    <row r="1215" spans="1:1" s="10" customFormat="1" x14ac:dyDescent="0.3">
      <c r="A1215" s="9"/>
    </row>
    <row r="1216" spans="1:1" s="10" customFormat="1" x14ac:dyDescent="0.3">
      <c r="A1216" s="9"/>
    </row>
    <row r="1217" spans="1:1" s="10" customFormat="1" x14ac:dyDescent="0.3">
      <c r="A1217" s="9"/>
    </row>
    <row r="1218" spans="1:1" s="10" customFormat="1" x14ac:dyDescent="0.3">
      <c r="A1218" s="9"/>
    </row>
    <row r="1219" spans="1:1" s="10" customFormat="1" x14ac:dyDescent="0.3">
      <c r="A1219" s="9"/>
    </row>
    <row r="1220" spans="1:1" s="10" customFormat="1" x14ac:dyDescent="0.3">
      <c r="A1220" s="9"/>
    </row>
    <row r="1221" spans="1:1" s="10" customFormat="1" x14ac:dyDescent="0.3">
      <c r="A1221" s="9"/>
    </row>
    <row r="1222" spans="1:1" s="10" customFormat="1" x14ac:dyDescent="0.3">
      <c r="A1222" s="9"/>
    </row>
    <row r="1223" spans="1:1" s="10" customFormat="1" x14ac:dyDescent="0.3">
      <c r="A1223" s="9"/>
    </row>
    <row r="1224" spans="1:1" s="10" customFormat="1" x14ac:dyDescent="0.3">
      <c r="A1224" s="9"/>
    </row>
    <row r="1225" spans="1:1" s="10" customFormat="1" x14ac:dyDescent="0.3">
      <c r="A1225" s="9"/>
    </row>
    <row r="1226" spans="1:1" s="10" customFormat="1" x14ac:dyDescent="0.3">
      <c r="A1226" s="9"/>
    </row>
    <row r="1227" spans="1:1" s="10" customFormat="1" x14ac:dyDescent="0.3">
      <c r="A1227" s="9"/>
    </row>
    <row r="1228" spans="1:1" s="10" customFormat="1" x14ac:dyDescent="0.3">
      <c r="A1228" s="9"/>
    </row>
    <row r="1229" spans="1:1" s="10" customFormat="1" x14ac:dyDescent="0.3">
      <c r="A1229" s="9"/>
    </row>
    <row r="1230" spans="1:1" s="10" customFormat="1" x14ac:dyDescent="0.3">
      <c r="A1230" s="9"/>
    </row>
    <row r="1231" spans="1:1" s="10" customFormat="1" x14ac:dyDescent="0.3">
      <c r="A1231" s="9"/>
    </row>
    <row r="1232" spans="1:1" s="10" customFormat="1" x14ac:dyDescent="0.3">
      <c r="A1232" s="9"/>
    </row>
    <row r="1233" spans="1:6" s="10" customFormat="1" x14ac:dyDescent="0.3">
      <c r="A1233" s="9"/>
    </row>
    <row r="1234" spans="1:6" s="10" customFormat="1" x14ac:dyDescent="0.3">
      <c r="A1234" s="9"/>
    </row>
    <row r="1235" spans="1:6" s="10" customFormat="1" x14ac:dyDescent="0.3">
      <c r="A1235" s="9"/>
    </row>
    <row r="1236" spans="1:6" s="10" customFormat="1" x14ac:dyDescent="0.3">
      <c r="F1236" s="9"/>
    </row>
    <row r="1237" spans="1:6" s="10" customFormat="1" x14ac:dyDescent="0.3">
      <c r="F1237" s="9"/>
    </row>
    <row r="1238" spans="1:6" s="10" customFormat="1" x14ac:dyDescent="0.3">
      <c r="A1238" s="9"/>
    </row>
    <row r="1239" spans="1:6" s="10" customFormat="1" x14ac:dyDescent="0.3">
      <c r="A1239" s="9"/>
    </row>
    <row r="1240" spans="1:6" s="10" customFormat="1" x14ac:dyDescent="0.3">
      <c r="A1240" s="9"/>
    </row>
    <row r="1241" spans="1:6" s="10" customFormat="1" x14ac:dyDescent="0.3">
      <c r="A1241" s="9"/>
    </row>
    <row r="1242" spans="1:6" s="10" customFormat="1" x14ac:dyDescent="0.3">
      <c r="A1242" s="9"/>
    </row>
    <row r="1243" spans="1:6" s="10" customFormat="1" x14ac:dyDescent="0.3">
      <c r="A1243" s="9"/>
    </row>
    <row r="1244" spans="1:6" s="10" customFormat="1" x14ac:dyDescent="0.3">
      <c r="A1244" s="9"/>
    </row>
    <row r="1245" spans="1:6" s="10" customFormat="1" x14ac:dyDescent="0.3">
      <c r="A1245" s="9"/>
    </row>
    <row r="1246" spans="1:6" s="10" customFormat="1" x14ac:dyDescent="0.3">
      <c r="A1246" s="9"/>
    </row>
    <row r="1247" spans="1:6" s="10" customFormat="1" x14ac:dyDescent="0.3">
      <c r="A1247" s="9"/>
    </row>
    <row r="1248" spans="1:6" s="10" customFormat="1" x14ac:dyDescent="0.3">
      <c r="A1248" s="9"/>
    </row>
    <row r="1249" spans="1:6" s="10" customFormat="1" x14ac:dyDescent="0.3">
      <c r="A1249" s="9"/>
    </row>
    <row r="1250" spans="1:6" s="10" customFormat="1" x14ac:dyDescent="0.3">
      <c r="A1250" s="9"/>
    </row>
    <row r="1251" spans="1:6" s="10" customFormat="1" x14ac:dyDescent="0.3">
      <c r="A1251" s="9"/>
    </row>
    <row r="1252" spans="1:6" s="10" customFormat="1" x14ac:dyDescent="0.3">
      <c r="A1252" s="9"/>
    </row>
    <row r="1253" spans="1:6" s="10" customFormat="1" x14ac:dyDescent="0.3">
      <c r="A1253" s="9"/>
    </row>
    <row r="1254" spans="1:6" s="10" customFormat="1" x14ac:dyDescent="0.3">
      <c r="A1254" s="9"/>
    </row>
    <row r="1255" spans="1:6" s="10" customFormat="1" x14ac:dyDescent="0.3">
      <c r="A1255" s="9"/>
    </row>
    <row r="1256" spans="1:6" s="10" customFormat="1" x14ac:dyDescent="0.3">
      <c r="F1256" s="9"/>
    </row>
    <row r="1257" spans="1:6" s="10" customFormat="1" x14ac:dyDescent="0.3">
      <c r="F1257" s="9"/>
    </row>
    <row r="1258" spans="1:6" s="10" customFormat="1" x14ac:dyDescent="0.3">
      <c r="F1258" s="9"/>
    </row>
    <row r="1259" spans="1:6" s="10" customFormat="1" x14ac:dyDescent="0.3">
      <c r="A1259" s="9"/>
    </row>
    <row r="1260" spans="1:6" s="10" customFormat="1" x14ac:dyDescent="0.3">
      <c r="A1260" s="9"/>
    </row>
    <row r="1261" spans="1:6" s="10" customFormat="1" x14ac:dyDescent="0.3">
      <c r="A1261" s="9"/>
    </row>
    <row r="1262" spans="1:6" s="10" customFormat="1" x14ac:dyDescent="0.3">
      <c r="F1262" s="9"/>
    </row>
    <row r="1263" spans="1:6" s="10" customFormat="1" x14ac:dyDescent="0.3">
      <c r="F1263" s="9"/>
    </row>
    <row r="1264" spans="1:6" s="10" customFormat="1" x14ac:dyDescent="0.3">
      <c r="F1264" s="9"/>
    </row>
    <row r="1265" spans="1:6" s="10" customFormat="1" x14ac:dyDescent="0.3">
      <c r="F1265" s="9"/>
    </row>
    <row r="1266" spans="1:6" s="10" customFormat="1" x14ac:dyDescent="0.3">
      <c r="A1266" s="9"/>
    </row>
    <row r="1267" spans="1:6" s="10" customFormat="1" x14ac:dyDescent="0.3">
      <c r="F1267" s="9"/>
    </row>
    <row r="1268" spans="1:6" s="10" customFormat="1" x14ac:dyDescent="0.3">
      <c r="A1268" s="9"/>
    </row>
    <row r="1269" spans="1:6" s="10" customFormat="1" x14ac:dyDescent="0.3">
      <c r="F1269" s="9"/>
    </row>
    <row r="1270" spans="1:6" s="10" customFormat="1" x14ac:dyDescent="0.3">
      <c r="F1270" s="9"/>
    </row>
    <row r="1271" spans="1:6" s="10" customFormat="1" x14ac:dyDescent="0.3">
      <c r="A1271" s="9"/>
    </row>
    <row r="1272" spans="1:6" s="10" customFormat="1" x14ac:dyDescent="0.3">
      <c r="A1272" s="9"/>
    </row>
    <row r="1273" spans="1:6" s="10" customFormat="1" x14ac:dyDescent="0.3">
      <c r="A1273" s="9"/>
    </row>
    <row r="1274" spans="1:6" s="10" customFormat="1" x14ac:dyDescent="0.3">
      <c r="F1274" s="9"/>
    </row>
    <row r="1275" spans="1:6" s="10" customFormat="1" x14ac:dyDescent="0.3">
      <c r="F1275" s="9"/>
    </row>
    <row r="1276" spans="1:6" s="10" customFormat="1" x14ac:dyDescent="0.3">
      <c r="F1276" s="9"/>
    </row>
    <row r="1277" spans="1:6" s="10" customFormat="1" x14ac:dyDescent="0.3">
      <c r="A1277" s="9"/>
    </row>
    <row r="1278" spans="1:6" s="10" customFormat="1" x14ac:dyDescent="0.3">
      <c r="A1278" s="9"/>
    </row>
    <row r="1279" spans="1:6" s="10" customFormat="1" x14ac:dyDescent="0.3">
      <c r="F1279" s="9"/>
    </row>
    <row r="1280" spans="1:6" s="10" customFormat="1" x14ac:dyDescent="0.3">
      <c r="F1280" s="9"/>
    </row>
    <row r="1281" spans="1:6" s="10" customFormat="1" x14ac:dyDescent="0.3">
      <c r="F1281" s="9"/>
    </row>
    <row r="1282" spans="1:6" s="10" customFormat="1" x14ac:dyDescent="0.3">
      <c r="F1282" s="9"/>
    </row>
    <row r="1283" spans="1:6" s="10" customFormat="1" x14ac:dyDescent="0.3">
      <c r="F1283" s="9"/>
    </row>
    <row r="1284" spans="1:6" s="10" customFormat="1" x14ac:dyDescent="0.3">
      <c r="F1284" s="9"/>
    </row>
    <row r="1285" spans="1:6" s="10" customFormat="1" x14ac:dyDescent="0.3">
      <c r="A1285" s="9"/>
    </row>
    <row r="1286" spans="1:6" s="10" customFormat="1" x14ac:dyDescent="0.3">
      <c r="A1286" s="9"/>
    </row>
    <row r="1287" spans="1:6" s="10" customFormat="1" x14ac:dyDescent="0.3">
      <c r="A1287" s="9"/>
    </row>
    <row r="1288" spans="1:6" s="10" customFormat="1" x14ac:dyDescent="0.3">
      <c r="F1288" s="9"/>
    </row>
    <row r="1289" spans="1:6" s="10" customFormat="1" x14ac:dyDescent="0.3">
      <c r="F1289" s="9"/>
    </row>
    <row r="1290" spans="1:6" s="10" customFormat="1" x14ac:dyDescent="0.3">
      <c r="A1290" s="9"/>
    </row>
    <row r="1291" spans="1:6" s="10" customFormat="1" x14ac:dyDescent="0.3">
      <c r="F1291" s="9"/>
    </row>
    <row r="1292" spans="1:6" s="10" customFormat="1" x14ac:dyDescent="0.3">
      <c r="F1292" s="9"/>
    </row>
    <row r="1293" spans="1:6" s="10" customFormat="1" x14ac:dyDescent="0.3">
      <c r="A1293" s="9"/>
    </row>
    <row r="1294" spans="1:6" s="10" customFormat="1" x14ac:dyDescent="0.3">
      <c r="A1294" s="9"/>
    </row>
    <row r="1295" spans="1:6" s="10" customFormat="1" x14ac:dyDescent="0.3">
      <c r="F1295" s="9"/>
    </row>
    <row r="1296" spans="1:6" s="10" customFormat="1" x14ac:dyDescent="0.3">
      <c r="F1296" s="9"/>
    </row>
    <row r="1297" spans="1:6" s="10" customFormat="1" x14ac:dyDescent="0.3">
      <c r="A1297" s="9"/>
    </row>
    <row r="1298" spans="1:6" s="10" customFormat="1" x14ac:dyDescent="0.3">
      <c r="A1298" s="9"/>
    </row>
    <row r="1299" spans="1:6" s="10" customFormat="1" x14ac:dyDescent="0.3">
      <c r="F1299" s="9"/>
    </row>
    <row r="1300" spans="1:6" s="10" customFormat="1" x14ac:dyDescent="0.3">
      <c r="A1300" s="9"/>
    </row>
    <row r="1301" spans="1:6" s="10" customFormat="1" x14ac:dyDescent="0.3">
      <c r="F1301" s="9"/>
    </row>
    <row r="1302" spans="1:6" s="10" customFormat="1" x14ac:dyDescent="0.3">
      <c r="F1302" s="9"/>
    </row>
    <row r="1303" spans="1:6" s="10" customFormat="1" x14ac:dyDescent="0.3">
      <c r="A1303" s="9"/>
    </row>
    <row r="1304" spans="1:6" s="10" customFormat="1" x14ac:dyDescent="0.3">
      <c r="A1304" s="9"/>
    </row>
    <row r="1305" spans="1:6" s="10" customFormat="1" x14ac:dyDescent="0.3">
      <c r="F1305" s="9"/>
    </row>
    <row r="1306" spans="1:6" s="10" customFormat="1" x14ac:dyDescent="0.3">
      <c r="F1306" s="9"/>
    </row>
    <row r="1307" spans="1:6" s="10" customFormat="1" x14ac:dyDescent="0.3">
      <c r="A1307" s="9"/>
    </row>
    <row r="1308" spans="1:6" s="10" customFormat="1" x14ac:dyDescent="0.3">
      <c r="A1308" s="9"/>
    </row>
    <row r="1309" spans="1:6" s="10" customFormat="1" x14ac:dyDescent="0.3">
      <c r="F1309" s="9"/>
    </row>
    <row r="1310" spans="1:6" s="10" customFormat="1" x14ac:dyDescent="0.3">
      <c r="F1310" s="9"/>
    </row>
    <row r="1311" spans="1:6" s="10" customFormat="1" x14ac:dyDescent="0.3">
      <c r="F1311" s="9"/>
    </row>
    <row r="1312" spans="1:6" s="10" customFormat="1" x14ac:dyDescent="0.3">
      <c r="A1312" s="9"/>
    </row>
    <row r="1313" spans="1:6" s="10" customFormat="1" x14ac:dyDescent="0.3">
      <c r="A1313" s="9"/>
    </row>
    <row r="1314" spans="1:6" s="10" customFormat="1" x14ac:dyDescent="0.3">
      <c r="F1314" s="9"/>
    </row>
    <row r="1315" spans="1:6" s="10" customFormat="1" x14ac:dyDescent="0.3">
      <c r="F1315" s="9"/>
    </row>
    <row r="1316" spans="1:6" s="10" customFormat="1" x14ac:dyDescent="0.3">
      <c r="F1316" s="9"/>
    </row>
    <row r="1317" spans="1:6" s="10" customFormat="1" x14ac:dyDescent="0.3">
      <c r="F1317" s="9"/>
    </row>
    <row r="1318" spans="1:6" s="10" customFormat="1" x14ac:dyDescent="0.3">
      <c r="A1318" s="9"/>
    </row>
    <row r="1319" spans="1:6" s="10" customFormat="1" x14ac:dyDescent="0.3">
      <c r="F1319" s="9"/>
    </row>
    <row r="1320" spans="1:6" s="10" customFormat="1" x14ac:dyDescent="0.3">
      <c r="F1320" s="9"/>
    </row>
    <row r="1321" spans="1:6" s="10" customFormat="1" x14ac:dyDescent="0.3">
      <c r="A1321" s="9"/>
    </row>
    <row r="1322" spans="1:6" s="10" customFormat="1" x14ac:dyDescent="0.3">
      <c r="A1322" s="9"/>
    </row>
    <row r="1323" spans="1:6" s="10" customFormat="1" x14ac:dyDescent="0.3">
      <c r="F1323" s="9"/>
    </row>
    <row r="1324" spans="1:6" s="10" customFormat="1" x14ac:dyDescent="0.3">
      <c r="F1324" s="9"/>
    </row>
    <row r="1325" spans="1:6" s="10" customFormat="1" x14ac:dyDescent="0.3">
      <c r="F1325" s="9"/>
    </row>
    <row r="1326" spans="1:6" s="10" customFormat="1" x14ac:dyDescent="0.3">
      <c r="A1326" s="9"/>
    </row>
    <row r="1327" spans="1:6" s="10" customFormat="1" x14ac:dyDescent="0.3">
      <c r="A1327" s="9"/>
    </row>
    <row r="1328" spans="1:6" s="10" customFormat="1" x14ac:dyDescent="0.3">
      <c r="F1328" s="9"/>
    </row>
    <row r="1329" spans="1:6" s="10" customFormat="1" x14ac:dyDescent="0.3">
      <c r="F1329" s="9"/>
    </row>
    <row r="1330" spans="1:6" s="10" customFormat="1" x14ac:dyDescent="0.3">
      <c r="A1330" s="9"/>
    </row>
    <row r="1331" spans="1:6" s="10" customFormat="1" x14ac:dyDescent="0.3">
      <c r="A1331" s="9"/>
    </row>
    <row r="1332" spans="1:6" s="10" customFormat="1" x14ac:dyDescent="0.3">
      <c r="F1332" s="9"/>
    </row>
    <row r="1333" spans="1:6" s="10" customFormat="1" x14ac:dyDescent="0.3">
      <c r="F1333" s="9"/>
    </row>
    <row r="1334" spans="1:6" s="10" customFormat="1" x14ac:dyDescent="0.3">
      <c r="F1334" s="9"/>
    </row>
    <row r="1335" spans="1:6" s="10" customFormat="1" x14ac:dyDescent="0.3">
      <c r="A1335" s="9"/>
    </row>
    <row r="1336" spans="1:6" s="10" customFormat="1" x14ac:dyDescent="0.3">
      <c r="A1336" s="9"/>
    </row>
    <row r="1337" spans="1:6" s="10" customFormat="1" x14ac:dyDescent="0.3">
      <c r="A1337" s="9"/>
    </row>
    <row r="1338" spans="1:6" s="10" customFormat="1" x14ac:dyDescent="0.3">
      <c r="F1338" s="9"/>
    </row>
    <row r="1339" spans="1:6" s="10" customFormat="1" x14ac:dyDescent="0.3">
      <c r="F1339" s="9"/>
    </row>
    <row r="1340" spans="1:6" s="10" customFormat="1" x14ac:dyDescent="0.3">
      <c r="A1340" s="9"/>
    </row>
    <row r="1341" spans="1:6" s="10" customFormat="1" x14ac:dyDescent="0.3">
      <c r="A1341" s="9"/>
    </row>
    <row r="1342" spans="1:6" s="10" customFormat="1" x14ac:dyDescent="0.3">
      <c r="F1342" s="9"/>
    </row>
    <row r="1343" spans="1:6" s="10" customFormat="1" x14ac:dyDescent="0.3">
      <c r="F1343" s="9"/>
    </row>
    <row r="1344" spans="1:6" s="10" customFormat="1" x14ac:dyDescent="0.3">
      <c r="F1344" s="9"/>
    </row>
    <row r="1345" spans="1:6" s="10" customFormat="1" x14ac:dyDescent="0.3">
      <c r="F1345" s="9"/>
    </row>
    <row r="1346" spans="1:6" s="10" customFormat="1" x14ac:dyDescent="0.3">
      <c r="A1346" s="9"/>
    </row>
    <row r="1347" spans="1:6" s="10" customFormat="1" x14ac:dyDescent="0.3">
      <c r="A1347" s="9"/>
    </row>
    <row r="1348" spans="1:6" s="10" customFormat="1" x14ac:dyDescent="0.3">
      <c r="A1348" s="9"/>
    </row>
    <row r="1349" spans="1:6" s="10" customFormat="1" x14ac:dyDescent="0.3">
      <c r="A1349" s="9"/>
    </row>
    <row r="1350" spans="1:6" s="10" customFormat="1" x14ac:dyDescent="0.3">
      <c r="F1350" s="9"/>
    </row>
    <row r="1351" spans="1:6" s="10" customFormat="1" x14ac:dyDescent="0.3">
      <c r="F1351" s="9"/>
    </row>
    <row r="1352" spans="1:6" s="10" customFormat="1" x14ac:dyDescent="0.3">
      <c r="A1352" s="9"/>
    </row>
    <row r="1353" spans="1:6" s="10" customFormat="1" x14ac:dyDescent="0.3">
      <c r="A1353" s="9"/>
    </row>
    <row r="1354" spans="1:6" s="10" customFormat="1" x14ac:dyDescent="0.3">
      <c r="F1354" s="9"/>
    </row>
    <row r="1355" spans="1:6" s="10" customFormat="1" x14ac:dyDescent="0.3">
      <c r="F1355" s="9"/>
    </row>
    <row r="1356" spans="1:6" s="10" customFormat="1" x14ac:dyDescent="0.3">
      <c r="A1356" s="9"/>
    </row>
    <row r="1357" spans="1:6" s="10" customFormat="1" x14ac:dyDescent="0.3">
      <c r="A1357" s="9"/>
    </row>
    <row r="1358" spans="1:6" s="10" customFormat="1" x14ac:dyDescent="0.3">
      <c r="A1358" s="9"/>
    </row>
    <row r="1359" spans="1:6" s="10" customFormat="1" x14ac:dyDescent="0.3">
      <c r="A1359" s="9"/>
    </row>
    <row r="1360" spans="1:6" s="10" customFormat="1" x14ac:dyDescent="0.3">
      <c r="F1360" s="9"/>
    </row>
    <row r="1361" spans="1:6" s="10" customFormat="1" x14ac:dyDescent="0.3">
      <c r="F1361" s="9"/>
    </row>
    <row r="1362" spans="1:6" s="10" customFormat="1" x14ac:dyDescent="0.3">
      <c r="A1362" s="9"/>
    </row>
    <row r="1363" spans="1:6" s="10" customFormat="1" x14ac:dyDescent="0.3">
      <c r="F1363" s="9"/>
    </row>
    <row r="1364" spans="1:6" s="10" customFormat="1" x14ac:dyDescent="0.3">
      <c r="F1364" s="9"/>
    </row>
    <row r="1365" spans="1:6" s="10" customFormat="1" x14ac:dyDescent="0.3">
      <c r="A1365" s="9"/>
    </row>
    <row r="1366" spans="1:6" s="10" customFormat="1" x14ac:dyDescent="0.3">
      <c r="A1366" s="9"/>
    </row>
    <row r="1367" spans="1:6" s="10" customFormat="1" x14ac:dyDescent="0.3">
      <c r="F1367" s="9"/>
    </row>
    <row r="1368" spans="1:6" s="10" customFormat="1" x14ac:dyDescent="0.3">
      <c r="F1368" s="9"/>
    </row>
    <row r="1369" spans="1:6" s="10" customFormat="1" x14ac:dyDescent="0.3">
      <c r="A1369" s="9"/>
    </row>
    <row r="1370" spans="1:6" s="10" customFormat="1" x14ac:dyDescent="0.3">
      <c r="A1370" s="9"/>
    </row>
    <row r="1371" spans="1:6" s="10" customFormat="1" x14ac:dyDescent="0.3">
      <c r="F1371" s="9"/>
    </row>
    <row r="1372" spans="1:6" s="10" customFormat="1" x14ac:dyDescent="0.3">
      <c r="F1372" s="9"/>
    </row>
    <row r="1373" spans="1:6" s="10" customFormat="1" x14ac:dyDescent="0.3">
      <c r="A1373" s="9"/>
    </row>
    <row r="1374" spans="1:6" s="10" customFormat="1" x14ac:dyDescent="0.3">
      <c r="A1374" s="9"/>
    </row>
    <row r="1375" spans="1:6" s="10" customFormat="1" x14ac:dyDescent="0.3">
      <c r="F1375" s="9"/>
    </row>
    <row r="1376" spans="1:6" s="10" customFormat="1" x14ac:dyDescent="0.3">
      <c r="F1376" s="9"/>
    </row>
    <row r="1377" spans="1:6" s="10" customFormat="1" x14ac:dyDescent="0.3">
      <c r="A1377" s="9"/>
    </row>
    <row r="1378" spans="1:6" s="10" customFormat="1" x14ac:dyDescent="0.3">
      <c r="A1378" s="9"/>
    </row>
    <row r="1379" spans="1:6" s="10" customFormat="1" x14ac:dyDescent="0.3">
      <c r="A1379" s="9"/>
    </row>
    <row r="1380" spans="1:6" s="10" customFormat="1" x14ac:dyDescent="0.3">
      <c r="F1380" s="9"/>
    </row>
    <row r="1381" spans="1:6" s="10" customFormat="1" x14ac:dyDescent="0.3">
      <c r="A1381" s="9"/>
    </row>
    <row r="1382" spans="1:6" s="10" customFormat="1" x14ac:dyDescent="0.3">
      <c r="A1382" s="9"/>
    </row>
    <row r="1383" spans="1:6" s="10" customFormat="1" x14ac:dyDescent="0.3">
      <c r="F1383" s="9"/>
    </row>
    <row r="1384" spans="1:6" s="10" customFormat="1" x14ac:dyDescent="0.3">
      <c r="F1384" s="9"/>
    </row>
    <row r="1385" spans="1:6" s="10" customFormat="1" x14ac:dyDescent="0.3">
      <c r="F1385" s="9"/>
    </row>
    <row r="1386" spans="1:6" s="10" customFormat="1" x14ac:dyDescent="0.3">
      <c r="A1386" s="9"/>
    </row>
    <row r="1387" spans="1:6" s="10" customFormat="1" x14ac:dyDescent="0.3">
      <c r="A1387" s="9"/>
    </row>
    <row r="1388" spans="1:6" s="10" customFormat="1" x14ac:dyDescent="0.3">
      <c r="F1388" s="9"/>
    </row>
    <row r="1389" spans="1:6" s="10" customFormat="1" x14ac:dyDescent="0.3">
      <c r="F1389" s="9"/>
    </row>
    <row r="1390" spans="1:6" s="10" customFormat="1" x14ac:dyDescent="0.3">
      <c r="F1390" s="9"/>
    </row>
    <row r="1391" spans="1:6" s="10" customFormat="1" x14ac:dyDescent="0.3">
      <c r="A1391" s="9"/>
    </row>
    <row r="1392" spans="1:6" s="10" customFormat="1" x14ac:dyDescent="0.3">
      <c r="A1392" s="9"/>
    </row>
    <row r="1393" spans="1:6" s="10" customFormat="1" x14ac:dyDescent="0.3">
      <c r="A1393" s="9"/>
    </row>
    <row r="1394" spans="1:6" s="10" customFormat="1" x14ac:dyDescent="0.3">
      <c r="A1394" s="9"/>
    </row>
    <row r="1395" spans="1:6" s="10" customFormat="1" x14ac:dyDescent="0.3">
      <c r="F1395" s="9"/>
    </row>
    <row r="1396" spans="1:6" s="10" customFormat="1" x14ac:dyDescent="0.3">
      <c r="F1396" s="9"/>
    </row>
    <row r="1397" spans="1:6" s="10" customFormat="1" x14ac:dyDescent="0.3">
      <c r="F1397" s="9"/>
    </row>
    <row r="1398" spans="1:6" s="10" customFormat="1" x14ac:dyDescent="0.3">
      <c r="F1398" s="9"/>
    </row>
    <row r="1399" spans="1:6" s="10" customFormat="1" x14ac:dyDescent="0.3">
      <c r="F1399" s="9"/>
    </row>
    <row r="1400" spans="1:6" s="10" customFormat="1" x14ac:dyDescent="0.3">
      <c r="F1400" s="9"/>
    </row>
    <row r="1401" spans="1:6" s="10" customFormat="1" x14ac:dyDescent="0.3">
      <c r="A1401" s="9"/>
    </row>
    <row r="1402" spans="1:6" s="10" customFormat="1" x14ac:dyDescent="0.3">
      <c r="A1402" s="9"/>
    </row>
    <row r="1403" spans="1:6" s="10" customFormat="1" x14ac:dyDescent="0.3">
      <c r="F1403" s="9"/>
    </row>
    <row r="1404" spans="1:6" s="10" customFormat="1" x14ac:dyDescent="0.3">
      <c r="F1404" s="9"/>
    </row>
    <row r="1405" spans="1:6" s="10" customFormat="1" x14ac:dyDescent="0.3">
      <c r="F1405" s="9"/>
    </row>
    <row r="1406" spans="1:6" s="10" customFormat="1" x14ac:dyDescent="0.3">
      <c r="A1406" s="9"/>
    </row>
    <row r="1407" spans="1:6" s="10" customFormat="1" x14ac:dyDescent="0.3">
      <c r="A1407" s="9"/>
    </row>
    <row r="1408" spans="1:6" s="10" customFormat="1" x14ac:dyDescent="0.3">
      <c r="F1408" s="9"/>
    </row>
    <row r="1409" spans="1:6" s="10" customFormat="1" x14ac:dyDescent="0.3">
      <c r="A1409" s="9"/>
    </row>
    <row r="1410" spans="1:6" s="10" customFormat="1" x14ac:dyDescent="0.3">
      <c r="A1410" s="9"/>
    </row>
    <row r="1411" spans="1:6" s="10" customFormat="1" x14ac:dyDescent="0.3">
      <c r="F1411" s="9"/>
    </row>
    <row r="1412" spans="1:6" s="10" customFormat="1" x14ac:dyDescent="0.3">
      <c r="F1412" s="9"/>
    </row>
    <row r="1413" spans="1:6" s="10" customFormat="1" x14ac:dyDescent="0.3">
      <c r="F1413" s="9"/>
    </row>
    <row r="1414" spans="1:6" s="10" customFormat="1" x14ac:dyDescent="0.3">
      <c r="A1414" s="9"/>
    </row>
    <row r="1415" spans="1:6" s="10" customFormat="1" x14ac:dyDescent="0.3">
      <c r="F1415" s="9"/>
    </row>
    <row r="1416" spans="1:6" s="10" customFormat="1" x14ac:dyDescent="0.3">
      <c r="F1416" s="9"/>
    </row>
    <row r="1417" spans="1:6" s="10" customFormat="1" x14ac:dyDescent="0.3">
      <c r="F1417" s="9"/>
    </row>
    <row r="1418" spans="1:6" s="10" customFormat="1" x14ac:dyDescent="0.3">
      <c r="F1418" s="9"/>
    </row>
    <row r="1419" spans="1:6" s="10" customFormat="1" x14ac:dyDescent="0.3">
      <c r="F1419" s="9"/>
    </row>
    <row r="1420" spans="1:6" s="10" customFormat="1" x14ac:dyDescent="0.3">
      <c r="F1420" s="9"/>
    </row>
    <row r="1421" spans="1:6" s="10" customFormat="1" x14ac:dyDescent="0.3">
      <c r="F1421" s="9"/>
    </row>
    <row r="1422" spans="1:6" s="10" customFormat="1" x14ac:dyDescent="0.3">
      <c r="F1422" s="9"/>
    </row>
    <row r="1423" spans="1:6" s="10" customFormat="1" x14ac:dyDescent="0.3">
      <c r="F1423" s="9"/>
    </row>
    <row r="1424" spans="1:6" s="10" customFormat="1" x14ac:dyDescent="0.3">
      <c r="F1424" s="9"/>
    </row>
    <row r="1425" spans="1:6" s="10" customFormat="1" x14ac:dyDescent="0.3">
      <c r="F1425" s="9"/>
    </row>
    <row r="1426" spans="1:6" s="10" customFormat="1" x14ac:dyDescent="0.3">
      <c r="F1426" s="9"/>
    </row>
    <row r="1427" spans="1:6" s="10" customFormat="1" x14ac:dyDescent="0.3">
      <c r="F1427" s="9"/>
    </row>
    <row r="1428" spans="1:6" s="10" customFormat="1" x14ac:dyDescent="0.3">
      <c r="F1428" s="9"/>
    </row>
    <row r="1429" spans="1:6" s="10" customFormat="1" x14ac:dyDescent="0.3">
      <c r="F1429" s="9"/>
    </row>
    <row r="1430" spans="1:6" s="10" customFormat="1" x14ac:dyDescent="0.3">
      <c r="F1430" s="9"/>
    </row>
    <row r="1431" spans="1:6" s="10" customFormat="1" x14ac:dyDescent="0.3">
      <c r="A1431" s="9"/>
    </row>
    <row r="1432" spans="1:6" s="10" customFormat="1" x14ac:dyDescent="0.3">
      <c r="A1432" s="9"/>
    </row>
    <row r="1433" spans="1:6" s="10" customFormat="1" x14ac:dyDescent="0.3">
      <c r="F1433" s="9"/>
    </row>
    <row r="1434" spans="1:6" s="10" customFormat="1" x14ac:dyDescent="0.3">
      <c r="A1434" s="9"/>
    </row>
    <row r="1435" spans="1:6" s="10" customFormat="1" x14ac:dyDescent="0.3">
      <c r="A1435" s="9"/>
    </row>
    <row r="1436" spans="1:6" s="10" customFormat="1" x14ac:dyDescent="0.3">
      <c r="A1436" s="9"/>
    </row>
    <row r="1437" spans="1:6" s="10" customFormat="1" x14ac:dyDescent="0.3">
      <c r="A1437" s="9"/>
    </row>
    <row r="1438" spans="1:6" s="10" customFormat="1" x14ac:dyDescent="0.3">
      <c r="A1438" s="9"/>
    </row>
    <row r="1439" spans="1:6" s="10" customFormat="1" x14ac:dyDescent="0.3">
      <c r="A1439" s="9"/>
    </row>
    <row r="1440" spans="1:6" s="10" customFormat="1" x14ac:dyDescent="0.3">
      <c r="A1440" s="9"/>
    </row>
    <row r="1441" spans="1:6" s="10" customFormat="1" x14ac:dyDescent="0.3">
      <c r="A1441" s="9"/>
    </row>
    <row r="1442" spans="1:6" s="10" customFormat="1" x14ac:dyDescent="0.3">
      <c r="A1442" s="9"/>
    </row>
    <row r="1443" spans="1:6" s="10" customFormat="1" x14ac:dyDescent="0.3">
      <c r="A1443" s="9"/>
    </row>
    <row r="1444" spans="1:6" s="10" customFormat="1" x14ac:dyDescent="0.3">
      <c r="A1444" s="9"/>
    </row>
    <row r="1445" spans="1:6" s="10" customFormat="1" x14ac:dyDescent="0.3">
      <c r="A1445" s="9"/>
    </row>
    <row r="1446" spans="1:6" s="10" customFormat="1" x14ac:dyDescent="0.3">
      <c r="F1446" s="9"/>
    </row>
    <row r="1447" spans="1:6" s="10" customFormat="1" x14ac:dyDescent="0.3">
      <c r="F1447" s="9"/>
    </row>
    <row r="1448" spans="1:6" s="10" customFormat="1" x14ac:dyDescent="0.3">
      <c r="A1448" s="9"/>
    </row>
    <row r="1449" spans="1:6" s="10" customFormat="1" x14ac:dyDescent="0.3">
      <c r="A1449" s="9"/>
    </row>
    <row r="1450" spans="1:6" s="10" customFormat="1" x14ac:dyDescent="0.3">
      <c r="F1450" s="9"/>
    </row>
    <row r="1451" spans="1:6" s="10" customFormat="1" x14ac:dyDescent="0.3">
      <c r="A1451" s="9"/>
    </row>
    <row r="1452" spans="1:6" s="10" customFormat="1" x14ac:dyDescent="0.3">
      <c r="F1452" s="9"/>
    </row>
    <row r="1453" spans="1:6" s="10" customFormat="1" x14ac:dyDescent="0.3">
      <c r="F1453" s="9"/>
    </row>
    <row r="1454" spans="1:6" s="10" customFormat="1" x14ac:dyDescent="0.3">
      <c r="A1454" s="9"/>
    </row>
    <row r="1455" spans="1:6" s="10" customFormat="1" x14ac:dyDescent="0.3">
      <c r="A1455" s="9"/>
    </row>
    <row r="1456" spans="1:6" s="10" customFormat="1" x14ac:dyDescent="0.3">
      <c r="A1456" s="9"/>
    </row>
    <row r="1457" spans="1:6" s="10" customFormat="1" x14ac:dyDescent="0.3">
      <c r="A1457" s="9"/>
    </row>
    <row r="1458" spans="1:6" s="10" customFormat="1" x14ac:dyDescent="0.3">
      <c r="A1458" s="9"/>
    </row>
    <row r="1459" spans="1:6" s="10" customFormat="1" x14ac:dyDescent="0.3">
      <c r="A1459" s="9"/>
    </row>
    <row r="1460" spans="1:6" s="10" customFormat="1" x14ac:dyDescent="0.3">
      <c r="A1460" s="9"/>
    </row>
    <row r="1461" spans="1:6" s="10" customFormat="1" x14ac:dyDescent="0.3">
      <c r="A1461" s="9"/>
    </row>
    <row r="1462" spans="1:6" s="10" customFormat="1" x14ac:dyDescent="0.3">
      <c r="A1462" s="9"/>
    </row>
    <row r="1463" spans="1:6" s="10" customFormat="1" x14ac:dyDescent="0.3">
      <c r="A1463" s="9"/>
    </row>
    <row r="1464" spans="1:6" s="10" customFormat="1" x14ac:dyDescent="0.3">
      <c r="A1464" s="9"/>
    </row>
    <row r="1465" spans="1:6" s="10" customFormat="1" x14ac:dyDescent="0.3">
      <c r="F1465" s="9"/>
    </row>
    <row r="1466" spans="1:6" s="10" customFormat="1" x14ac:dyDescent="0.3">
      <c r="F1466" s="9"/>
    </row>
    <row r="1467" spans="1:6" s="10" customFormat="1" x14ac:dyDescent="0.3">
      <c r="F1467" s="9"/>
    </row>
    <row r="1468" spans="1:6" s="10" customFormat="1" x14ac:dyDescent="0.3">
      <c r="A1468" s="9"/>
    </row>
    <row r="1469" spans="1:6" s="10" customFormat="1" x14ac:dyDescent="0.3">
      <c r="A1469" s="9"/>
    </row>
    <row r="1470" spans="1:6" s="10" customFormat="1" x14ac:dyDescent="0.3">
      <c r="F1470" s="9"/>
    </row>
    <row r="1471" spans="1:6" s="10" customFormat="1" x14ac:dyDescent="0.3">
      <c r="F1471" s="9"/>
    </row>
    <row r="1472" spans="1:6" s="10" customFormat="1" x14ac:dyDescent="0.3">
      <c r="F1472" s="9"/>
    </row>
    <row r="1473" spans="6:6" s="10" customFormat="1" x14ac:dyDescent="0.3">
      <c r="F1473" s="9"/>
    </row>
    <row r="1474" spans="6:6" s="10" customFormat="1" x14ac:dyDescent="0.3">
      <c r="F1474" s="9"/>
    </row>
    <row r="1475" spans="6:6" s="10" customFormat="1" x14ac:dyDescent="0.3">
      <c r="F1475" s="9"/>
    </row>
    <row r="1476" spans="6:6" s="10" customFormat="1" x14ac:dyDescent="0.3">
      <c r="F1476" s="9"/>
    </row>
    <row r="1477" spans="6:6" s="10" customFormat="1" x14ac:dyDescent="0.3">
      <c r="F1477" s="9"/>
    </row>
    <row r="1478" spans="6:6" s="10" customFormat="1" x14ac:dyDescent="0.3">
      <c r="F1478" s="9"/>
    </row>
    <row r="1479" spans="6:6" s="10" customFormat="1" x14ac:dyDescent="0.3">
      <c r="F1479" s="9"/>
    </row>
    <row r="1480" spans="6:6" s="10" customFormat="1" x14ac:dyDescent="0.3">
      <c r="F1480" s="9"/>
    </row>
    <row r="1481" spans="6:6" s="10" customFormat="1" x14ac:dyDescent="0.3">
      <c r="F1481" s="9"/>
    </row>
    <row r="1482" spans="6:6" s="10" customFormat="1" x14ac:dyDescent="0.3">
      <c r="F1482" s="9"/>
    </row>
    <row r="1483" spans="6:6" s="10" customFormat="1" x14ac:dyDescent="0.3">
      <c r="F1483" s="9"/>
    </row>
    <row r="1484" spans="6:6" s="10" customFormat="1" x14ac:dyDescent="0.3">
      <c r="F1484" s="9"/>
    </row>
    <row r="1485" spans="6:6" s="10" customFormat="1" x14ac:dyDescent="0.3">
      <c r="F1485" s="9"/>
    </row>
    <row r="1486" spans="6:6" s="10" customFormat="1" x14ac:dyDescent="0.3">
      <c r="F1486" s="9"/>
    </row>
    <row r="1487" spans="6:6" s="10" customFormat="1" x14ac:dyDescent="0.3">
      <c r="F1487" s="9"/>
    </row>
    <row r="1488" spans="6:6" s="10" customFormat="1" x14ac:dyDescent="0.3">
      <c r="F1488" s="9"/>
    </row>
    <row r="1489" spans="6:6" s="10" customFormat="1" x14ac:dyDescent="0.3">
      <c r="F1489" s="9"/>
    </row>
    <row r="1490" spans="6:6" s="10" customFormat="1" x14ac:dyDescent="0.3">
      <c r="F1490" s="9"/>
    </row>
    <row r="1491" spans="6:6" s="10" customFormat="1" x14ac:dyDescent="0.3">
      <c r="F1491" s="9"/>
    </row>
    <row r="1492" spans="6:6" s="10" customFormat="1" x14ac:dyDescent="0.3">
      <c r="F1492" s="9"/>
    </row>
    <row r="1493" spans="6:6" s="10" customFormat="1" x14ac:dyDescent="0.3">
      <c r="F1493" s="9"/>
    </row>
    <row r="1494" spans="6:6" s="10" customFormat="1" x14ac:dyDescent="0.3">
      <c r="F1494" s="9"/>
    </row>
    <row r="1495" spans="6:6" s="10" customFormat="1" x14ac:dyDescent="0.3">
      <c r="F1495" s="9"/>
    </row>
    <row r="1496" spans="6:6" s="10" customFormat="1" x14ac:dyDescent="0.3">
      <c r="F1496" s="9"/>
    </row>
    <row r="1497" spans="6:6" s="10" customFormat="1" x14ac:dyDescent="0.3">
      <c r="F1497" s="9"/>
    </row>
    <row r="1498" spans="6:6" s="10" customFormat="1" x14ac:dyDescent="0.3">
      <c r="F1498" s="9"/>
    </row>
    <row r="1499" spans="6:6" s="10" customFormat="1" x14ac:dyDescent="0.3">
      <c r="F1499" s="9"/>
    </row>
    <row r="1500" spans="6:6" s="10" customFormat="1" x14ac:dyDescent="0.3">
      <c r="F1500" s="9"/>
    </row>
    <row r="1501" spans="6:6" s="10" customFormat="1" x14ac:dyDescent="0.3">
      <c r="F1501" s="9"/>
    </row>
    <row r="1502" spans="6:6" s="10" customFormat="1" x14ac:dyDescent="0.3">
      <c r="F1502" s="9"/>
    </row>
    <row r="1503" spans="6:6" s="10" customFormat="1" x14ac:dyDescent="0.3">
      <c r="F1503" s="9"/>
    </row>
    <row r="1504" spans="6:6" s="10" customFormat="1" x14ac:dyDescent="0.3">
      <c r="F1504" s="9"/>
    </row>
    <row r="1505" spans="1:6" s="10" customFormat="1" x14ac:dyDescent="0.3">
      <c r="F1505" s="9"/>
    </row>
    <row r="1506" spans="1:6" s="10" customFormat="1" x14ac:dyDescent="0.3">
      <c r="F1506" s="9"/>
    </row>
    <row r="1507" spans="1:6" s="10" customFormat="1" x14ac:dyDescent="0.3">
      <c r="F1507" s="9"/>
    </row>
    <row r="1508" spans="1:6" s="10" customFormat="1" x14ac:dyDescent="0.3">
      <c r="F1508" s="9"/>
    </row>
    <row r="1509" spans="1:6" s="10" customFormat="1" x14ac:dyDescent="0.3">
      <c r="F1509" s="9"/>
    </row>
    <row r="1510" spans="1:6" s="10" customFormat="1" x14ac:dyDescent="0.3">
      <c r="F1510" s="9"/>
    </row>
    <row r="1511" spans="1:6" s="10" customFormat="1" x14ac:dyDescent="0.3">
      <c r="F1511" s="9"/>
    </row>
    <row r="1512" spans="1:6" s="10" customFormat="1" x14ac:dyDescent="0.3">
      <c r="F1512" s="9"/>
    </row>
    <row r="1513" spans="1:6" s="10" customFormat="1" x14ac:dyDescent="0.3">
      <c r="A1513" s="9"/>
    </row>
    <row r="1514" spans="1:6" s="10" customFormat="1" x14ac:dyDescent="0.3">
      <c r="F1514" s="9"/>
    </row>
    <row r="1515" spans="1:6" s="10" customFormat="1" x14ac:dyDescent="0.3">
      <c r="F1515" s="9"/>
    </row>
    <row r="1516" spans="1:6" s="10" customFormat="1" x14ac:dyDescent="0.3">
      <c r="F1516" s="9"/>
    </row>
    <row r="1517" spans="1:6" s="10" customFormat="1" x14ac:dyDescent="0.3">
      <c r="F1517" s="9"/>
    </row>
    <row r="1518" spans="1:6" s="10" customFormat="1" x14ac:dyDescent="0.3">
      <c r="F1518" s="9"/>
    </row>
    <row r="1519" spans="1:6" s="10" customFormat="1" x14ac:dyDescent="0.3">
      <c r="F1519" s="9"/>
    </row>
    <row r="1520" spans="1:6" s="10" customFormat="1" x14ac:dyDescent="0.3">
      <c r="F1520" s="9"/>
    </row>
    <row r="1521" spans="6:6" s="10" customFormat="1" x14ac:dyDescent="0.3">
      <c r="F1521" s="9"/>
    </row>
    <row r="1522" spans="6:6" s="10" customFormat="1" x14ac:dyDescent="0.3">
      <c r="F1522" s="9"/>
    </row>
    <row r="1523" spans="6:6" s="10" customFormat="1" x14ac:dyDescent="0.3">
      <c r="F1523" s="9"/>
    </row>
    <row r="1524" spans="6:6" s="10" customFormat="1" x14ac:dyDescent="0.3">
      <c r="F1524" s="9"/>
    </row>
    <row r="1525" spans="6:6" s="10" customFormat="1" x14ac:dyDescent="0.3">
      <c r="F1525" s="9"/>
    </row>
    <row r="1526" spans="6:6" s="10" customFormat="1" x14ac:dyDescent="0.3">
      <c r="F1526" s="9"/>
    </row>
    <row r="1527" spans="6:6" s="10" customFormat="1" x14ac:dyDescent="0.3">
      <c r="F1527" s="9"/>
    </row>
    <row r="1528" spans="6:6" s="10" customFormat="1" x14ac:dyDescent="0.3">
      <c r="F1528" s="9"/>
    </row>
    <row r="1529" spans="6:6" s="10" customFormat="1" x14ac:dyDescent="0.3">
      <c r="F1529" s="9"/>
    </row>
    <row r="1530" spans="6:6" s="10" customFormat="1" x14ac:dyDescent="0.3">
      <c r="F1530" s="9"/>
    </row>
    <row r="1531" spans="6:6" s="10" customFormat="1" x14ac:dyDescent="0.3">
      <c r="F1531" s="9"/>
    </row>
    <row r="1532" spans="6:6" s="10" customFormat="1" x14ac:dyDescent="0.3">
      <c r="F1532" s="9"/>
    </row>
    <row r="1533" spans="6:6" s="10" customFormat="1" x14ac:dyDescent="0.3">
      <c r="F1533" s="9"/>
    </row>
    <row r="1534" spans="6:6" s="10" customFormat="1" x14ac:dyDescent="0.3">
      <c r="F1534" s="9"/>
    </row>
    <row r="1535" spans="6:6" s="10" customFormat="1" x14ac:dyDescent="0.3">
      <c r="F1535" s="9"/>
    </row>
    <row r="1536" spans="6:6" s="10" customFormat="1" x14ac:dyDescent="0.3">
      <c r="F1536" s="9"/>
    </row>
    <row r="1537" spans="1:6" s="10" customFormat="1" x14ac:dyDescent="0.3">
      <c r="F1537" s="9"/>
    </row>
    <row r="1538" spans="1:6" s="10" customFormat="1" x14ac:dyDescent="0.3">
      <c r="A1538" s="9"/>
    </row>
    <row r="1539" spans="1:6" s="10" customFormat="1" x14ac:dyDescent="0.3">
      <c r="A1539" s="9"/>
    </row>
    <row r="1540" spans="1:6" s="10" customFormat="1" x14ac:dyDescent="0.3">
      <c r="A1540" s="9"/>
    </row>
    <row r="1541" spans="1:6" s="10" customFormat="1" x14ac:dyDescent="0.3">
      <c r="A1541" s="9"/>
    </row>
    <row r="1542" spans="1:6" s="10" customFormat="1" x14ac:dyDescent="0.3">
      <c r="A1542" s="9"/>
    </row>
    <row r="1543" spans="1:6" s="10" customFormat="1" x14ac:dyDescent="0.3">
      <c r="A1543" s="9"/>
    </row>
    <row r="1544" spans="1:6" s="10" customFormat="1" x14ac:dyDescent="0.3">
      <c r="A1544" s="9"/>
    </row>
    <row r="1545" spans="1:6" s="10" customFormat="1" x14ac:dyDescent="0.3">
      <c r="A1545" s="9"/>
    </row>
    <row r="1546" spans="1:6" s="10" customFormat="1" x14ac:dyDescent="0.3">
      <c r="A1546" s="9"/>
    </row>
    <row r="1547" spans="1:6" s="10" customFormat="1" x14ac:dyDescent="0.3">
      <c r="A1547" s="9"/>
    </row>
    <row r="1548" spans="1:6" s="10" customFormat="1" x14ac:dyDescent="0.3">
      <c r="A1548" s="9"/>
    </row>
    <row r="1549" spans="1:6" s="10" customFormat="1" x14ac:dyDescent="0.3">
      <c r="A1549" s="9"/>
    </row>
    <row r="1550" spans="1:6" s="10" customFormat="1" x14ac:dyDescent="0.3">
      <c r="A1550" s="9"/>
    </row>
    <row r="1551" spans="1:6" s="10" customFormat="1" x14ac:dyDescent="0.3">
      <c r="A1551" s="9"/>
    </row>
    <row r="1552" spans="1:6" s="10" customFormat="1" x14ac:dyDescent="0.3">
      <c r="F1552" s="9"/>
    </row>
    <row r="1553" spans="1:6" s="10" customFormat="1" x14ac:dyDescent="0.3">
      <c r="F1553" s="9"/>
    </row>
    <row r="1554" spans="1:6" s="10" customFormat="1" x14ac:dyDescent="0.3">
      <c r="F1554" s="9"/>
    </row>
    <row r="1555" spans="1:6" s="10" customFormat="1" x14ac:dyDescent="0.3">
      <c r="A1555" s="9"/>
    </row>
    <row r="1556" spans="1:6" s="10" customFormat="1" x14ac:dyDescent="0.3">
      <c r="A1556" s="9"/>
    </row>
    <row r="1557" spans="1:6" s="10" customFormat="1" x14ac:dyDescent="0.3">
      <c r="A1557" s="9"/>
    </row>
    <row r="1558" spans="1:6" s="10" customFormat="1" x14ac:dyDescent="0.3">
      <c r="A1558" s="9"/>
    </row>
    <row r="1559" spans="1:6" s="10" customFormat="1" x14ac:dyDescent="0.3">
      <c r="F1559" s="9"/>
    </row>
    <row r="1560" spans="1:6" s="10" customFormat="1" x14ac:dyDescent="0.3">
      <c r="A1560" s="9"/>
    </row>
    <row r="1561" spans="1:6" s="10" customFormat="1" x14ac:dyDescent="0.3">
      <c r="F1561" s="9"/>
    </row>
    <row r="1562" spans="1:6" s="10" customFormat="1" x14ac:dyDescent="0.3">
      <c r="A1562" s="9"/>
    </row>
    <row r="1563" spans="1:6" s="10" customFormat="1" x14ac:dyDescent="0.3">
      <c r="F1563" s="9"/>
    </row>
    <row r="1564" spans="1:6" s="10" customFormat="1" x14ac:dyDescent="0.3">
      <c r="F1564" s="9"/>
    </row>
    <row r="1565" spans="1:6" s="10" customFormat="1" x14ac:dyDescent="0.3">
      <c r="F1565" s="9"/>
    </row>
    <row r="1566" spans="1:6" s="10" customFormat="1" x14ac:dyDescent="0.3">
      <c r="F1566" s="9"/>
    </row>
    <row r="1567" spans="1:6" s="10" customFormat="1" x14ac:dyDescent="0.3">
      <c r="F1567" s="9"/>
    </row>
    <row r="1568" spans="1:6" s="10" customFormat="1" x14ac:dyDescent="0.3">
      <c r="F1568" s="9"/>
    </row>
    <row r="1569" spans="1:6" s="10" customFormat="1" x14ac:dyDescent="0.3">
      <c r="A1569" s="9"/>
    </row>
    <row r="1570" spans="1:6" s="10" customFormat="1" x14ac:dyDescent="0.3">
      <c r="F1570" s="9"/>
    </row>
    <row r="1571" spans="1:6" s="10" customFormat="1" x14ac:dyDescent="0.3">
      <c r="F1571" s="9"/>
    </row>
    <row r="1572" spans="1:6" s="10" customFormat="1" x14ac:dyDescent="0.3">
      <c r="F1572" s="9"/>
    </row>
    <row r="1573" spans="1:6" s="10" customFormat="1" x14ac:dyDescent="0.3">
      <c r="F1573" s="9"/>
    </row>
    <row r="1574" spans="1:6" s="10" customFormat="1" x14ac:dyDescent="0.3">
      <c r="F1574" s="9"/>
    </row>
    <row r="1575" spans="1:6" s="10" customFormat="1" x14ac:dyDescent="0.3">
      <c r="F1575" s="9"/>
    </row>
    <row r="1576" spans="1:6" s="10" customFormat="1" x14ac:dyDescent="0.3">
      <c r="F1576" s="9"/>
    </row>
    <row r="1577" spans="1:6" s="10" customFormat="1" x14ac:dyDescent="0.3">
      <c r="F1577" s="9"/>
    </row>
    <row r="1578" spans="1:6" s="10" customFormat="1" x14ac:dyDescent="0.3">
      <c r="F1578" s="9"/>
    </row>
    <row r="1579" spans="1:6" s="10" customFormat="1" x14ac:dyDescent="0.3">
      <c r="F1579" s="9"/>
    </row>
    <row r="1580" spans="1:6" s="10" customFormat="1" x14ac:dyDescent="0.3">
      <c r="F1580" s="9"/>
    </row>
    <row r="1581" spans="1:6" s="10" customFormat="1" x14ac:dyDescent="0.3">
      <c r="F1581" s="9"/>
    </row>
    <row r="1582" spans="1:6" s="10" customFormat="1" x14ac:dyDescent="0.3">
      <c r="A1582" s="9"/>
    </row>
    <row r="1583" spans="1:6" s="10" customFormat="1" x14ac:dyDescent="0.3">
      <c r="F1583" s="9"/>
    </row>
    <row r="1584" spans="1:6" s="10" customFormat="1" x14ac:dyDescent="0.3">
      <c r="A1584" s="9"/>
    </row>
    <row r="1585" spans="1:6" s="10" customFormat="1" x14ac:dyDescent="0.3">
      <c r="F1585" s="9"/>
    </row>
    <row r="1586" spans="1:6" s="10" customFormat="1" x14ac:dyDescent="0.3">
      <c r="A1586" s="9"/>
    </row>
    <row r="1587" spans="1:6" s="10" customFormat="1" x14ac:dyDescent="0.3">
      <c r="A1587" s="9"/>
    </row>
    <row r="1588" spans="1:6" s="10" customFormat="1" x14ac:dyDescent="0.3">
      <c r="F1588" s="9"/>
    </row>
    <row r="1589" spans="1:6" s="10" customFormat="1" x14ac:dyDescent="0.3">
      <c r="A1589" s="9"/>
    </row>
    <row r="1590" spans="1:6" s="10" customFormat="1" x14ac:dyDescent="0.3">
      <c r="F1590" s="9"/>
    </row>
    <row r="1591" spans="1:6" s="10" customFormat="1" x14ac:dyDescent="0.3">
      <c r="F1591" s="9"/>
    </row>
    <row r="1592" spans="1:6" s="10" customFormat="1" x14ac:dyDescent="0.3">
      <c r="F1592" s="9"/>
    </row>
    <row r="1593" spans="1:6" s="10" customFormat="1" x14ac:dyDescent="0.3">
      <c r="F1593" s="9"/>
    </row>
    <row r="1594" spans="1:6" s="10" customFormat="1" x14ac:dyDescent="0.3">
      <c r="F1594" s="9"/>
    </row>
    <row r="1595" spans="1:6" s="10" customFormat="1" x14ac:dyDescent="0.3">
      <c r="A1595" s="9"/>
    </row>
    <row r="1596" spans="1:6" s="10" customFormat="1" x14ac:dyDescent="0.3">
      <c r="F1596" s="9"/>
    </row>
    <row r="1597" spans="1:6" s="10" customFormat="1" x14ac:dyDescent="0.3">
      <c r="F1597" s="9"/>
    </row>
    <row r="1598" spans="1:6" s="10" customFormat="1" x14ac:dyDescent="0.3">
      <c r="F1598" s="9"/>
    </row>
    <row r="1599" spans="1:6" s="10" customFormat="1" x14ac:dyDescent="0.3">
      <c r="A1599" s="9"/>
    </row>
    <row r="1600" spans="1:6" s="10" customFormat="1" x14ac:dyDescent="0.3">
      <c r="F1600" s="9"/>
    </row>
    <row r="1601" spans="1:6" s="10" customFormat="1" x14ac:dyDescent="0.3">
      <c r="F1601" s="9"/>
    </row>
    <row r="1602" spans="1:6" s="10" customFormat="1" x14ac:dyDescent="0.3">
      <c r="F1602" s="9"/>
    </row>
    <row r="1603" spans="1:6" s="10" customFormat="1" x14ac:dyDescent="0.3">
      <c r="F1603" s="9"/>
    </row>
    <row r="1604" spans="1:6" s="10" customFormat="1" x14ac:dyDescent="0.3">
      <c r="F1604" s="9"/>
    </row>
    <row r="1605" spans="1:6" s="10" customFormat="1" x14ac:dyDescent="0.3">
      <c r="F1605" s="9"/>
    </row>
    <row r="1606" spans="1:6" s="10" customFormat="1" x14ac:dyDescent="0.3">
      <c r="A1606" s="9"/>
    </row>
    <row r="1607" spans="1:6" s="10" customFormat="1" x14ac:dyDescent="0.3">
      <c r="A1607" s="9"/>
    </row>
    <row r="1608" spans="1:6" s="10" customFormat="1" x14ac:dyDescent="0.3">
      <c r="F1608" s="9"/>
    </row>
    <row r="1609" spans="1:6" s="10" customFormat="1" x14ac:dyDescent="0.3">
      <c r="F1609" s="9"/>
    </row>
    <row r="1610" spans="1:6" s="10" customFormat="1" x14ac:dyDescent="0.3">
      <c r="F1610" s="9"/>
    </row>
    <row r="1611" spans="1:6" s="10" customFormat="1" x14ac:dyDescent="0.3">
      <c r="F1611" s="9"/>
    </row>
    <row r="1612" spans="1:6" s="10" customFormat="1" x14ac:dyDescent="0.3">
      <c r="F1612" s="9"/>
    </row>
    <row r="1613" spans="1:6" s="10" customFormat="1" x14ac:dyDescent="0.3">
      <c r="F1613" s="9"/>
    </row>
    <row r="1614" spans="1:6" s="10" customFormat="1" x14ac:dyDescent="0.3">
      <c r="F1614" s="9"/>
    </row>
    <row r="1615" spans="1:6" s="10" customFormat="1" x14ac:dyDescent="0.3">
      <c r="F1615" s="9"/>
    </row>
    <row r="1616" spans="1:6" s="10" customFormat="1" x14ac:dyDescent="0.3">
      <c r="F1616" s="9"/>
    </row>
    <row r="1617" spans="1:6" s="10" customFormat="1" x14ac:dyDescent="0.3">
      <c r="F1617" s="9"/>
    </row>
    <row r="1618" spans="1:6" s="10" customFormat="1" x14ac:dyDescent="0.3">
      <c r="A1618" s="9"/>
    </row>
    <row r="1619" spans="1:6" s="10" customFormat="1" x14ac:dyDescent="0.3">
      <c r="F1619" s="9"/>
    </row>
    <row r="1620" spans="1:6" s="10" customFormat="1" x14ac:dyDescent="0.3">
      <c r="F1620" s="9"/>
    </row>
    <row r="1621" spans="1:6" s="10" customFormat="1" x14ac:dyDescent="0.3">
      <c r="A1621" s="9"/>
    </row>
    <row r="1622" spans="1:6" s="10" customFormat="1" x14ac:dyDescent="0.3">
      <c r="A1622" s="9"/>
    </row>
    <row r="1623" spans="1:6" s="10" customFormat="1" x14ac:dyDescent="0.3">
      <c r="A1623" s="9"/>
    </row>
    <row r="1624" spans="1:6" s="10" customFormat="1" x14ac:dyDescent="0.3">
      <c r="F1624" s="9"/>
    </row>
    <row r="1625" spans="1:6" s="10" customFormat="1" x14ac:dyDescent="0.3">
      <c r="F1625" s="9"/>
    </row>
    <row r="1626" spans="1:6" s="10" customFormat="1" x14ac:dyDescent="0.3">
      <c r="F1626" s="9"/>
    </row>
    <row r="1627" spans="1:6" s="10" customFormat="1" x14ac:dyDescent="0.3">
      <c r="A1627" s="9"/>
    </row>
    <row r="1628" spans="1:6" s="10" customFormat="1" x14ac:dyDescent="0.3">
      <c r="F1628" s="9"/>
    </row>
    <row r="1629" spans="1:6" s="10" customFormat="1" x14ac:dyDescent="0.3">
      <c r="A1629" s="9"/>
    </row>
    <row r="1630" spans="1:6" s="10" customFormat="1" x14ac:dyDescent="0.3">
      <c r="F1630" s="9"/>
    </row>
    <row r="1631" spans="1:6" s="10" customFormat="1" x14ac:dyDescent="0.3">
      <c r="F1631" s="9"/>
    </row>
    <row r="1632" spans="1:6" s="10" customFormat="1" x14ac:dyDescent="0.3">
      <c r="F1632" s="9"/>
    </row>
    <row r="1633" spans="1:6" s="10" customFormat="1" x14ac:dyDescent="0.3">
      <c r="F1633" s="9"/>
    </row>
    <row r="1634" spans="1:6" s="10" customFormat="1" x14ac:dyDescent="0.3">
      <c r="A1634" s="9"/>
    </row>
    <row r="1635" spans="1:6" s="10" customFormat="1" x14ac:dyDescent="0.3">
      <c r="A1635" s="9"/>
    </row>
    <row r="1636" spans="1:6" s="10" customFormat="1" x14ac:dyDescent="0.3">
      <c r="F1636" s="9"/>
    </row>
    <row r="1637" spans="1:6" s="10" customFormat="1" x14ac:dyDescent="0.3">
      <c r="F1637" s="9"/>
    </row>
    <row r="1638" spans="1:6" s="10" customFormat="1" x14ac:dyDescent="0.3">
      <c r="F1638" s="9"/>
    </row>
    <row r="1639" spans="1:6" s="10" customFormat="1" x14ac:dyDescent="0.3">
      <c r="F1639" s="9"/>
    </row>
    <row r="1640" spans="1:6" s="10" customFormat="1" x14ac:dyDescent="0.3">
      <c r="A1640" s="9"/>
    </row>
    <row r="1641" spans="1:6" s="10" customFormat="1" x14ac:dyDescent="0.3">
      <c r="F1641" s="9"/>
    </row>
    <row r="1642" spans="1:6" s="10" customFormat="1" x14ac:dyDescent="0.3">
      <c r="F1642" s="9"/>
    </row>
    <row r="1643" spans="1:6" s="10" customFormat="1" x14ac:dyDescent="0.3">
      <c r="F1643" s="9"/>
    </row>
    <row r="1644" spans="1:6" s="10" customFormat="1" x14ac:dyDescent="0.3">
      <c r="F1644" s="9"/>
    </row>
    <row r="1645" spans="1:6" s="10" customFormat="1" x14ac:dyDescent="0.3">
      <c r="F1645" s="9"/>
    </row>
    <row r="1646" spans="1:6" s="10" customFormat="1" x14ac:dyDescent="0.3">
      <c r="A1646" s="9"/>
    </row>
    <row r="1647" spans="1:6" s="10" customFormat="1" x14ac:dyDescent="0.3">
      <c r="F1647" s="9"/>
    </row>
    <row r="1648" spans="1:6" s="10" customFormat="1" x14ac:dyDescent="0.3">
      <c r="F1648" s="9"/>
    </row>
    <row r="1649" spans="1:6" s="10" customFormat="1" x14ac:dyDescent="0.3">
      <c r="F1649" s="9"/>
    </row>
    <row r="1650" spans="1:6" s="10" customFormat="1" x14ac:dyDescent="0.3">
      <c r="F1650" s="9"/>
    </row>
    <row r="1651" spans="1:6" s="10" customFormat="1" x14ac:dyDescent="0.3">
      <c r="F1651" s="9"/>
    </row>
    <row r="1652" spans="1:6" s="10" customFormat="1" x14ac:dyDescent="0.3">
      <c r="F1652" s="9"/>
    </row>
    <row r="1653" spans="1:6" s="10" customFormat="1" x14ac:dyDescent="0.3">
      <c r="A1653" s="9"/>
    </row>
    <row r="1654" spans="1:6" s="10" customFormat="1" x14ac:dyDescent="0.3">
      <c r="F1654" s="9"/>
    </row>
    <row r="1655" spans="1:6" s="10" customFormat="1" x14ac:dyDescent="0.3">
      <c r="F1655" s="9"/>
    </row>
    <row r="1656" spans="1:6" s="10" customFormat="1" x14ac:dyDescent="0.3">
      <c r="F1656" s="9"/>
    </row>
    <row r="1657" spans="1:6" s="10" customFormat="1" x14ac:dyDescent="0.3">
      <c r="A1657" s="9"/>
    </row>
    <row r="1658" spans="1:6" s="10" customFormat="1" x14ac:dyDescent="0.3">
      <c r="A1658" s="9"/>
    </row>
    <row r="1659" spans="1:6" s="10" customFormat="1" x14ac:dyDescent="0.3">
      <c r="F1659" s="9"/>
    </row>
    <row r="1660" spans="1:6" s="10" customFormat="1" x14ac:dyDescent="0.3">
      <c r="F1660" s="9"/>
    </row>
    <row r="1661" spans="1:6" s="10" customFormat="1" x14ac:dyDescent="0.3">
      <c r="A1661" s="9"/>
    </row>
    <row r="1662" spans="1:6" s="10" customFormat="1" x14ac:dyDescent="0.3">
      <c r="A1662" s="9"/>
    </row>
    <row r="1663" spans="1:6" s="10" customFormat="1" x14ac:dyDescent="0.3">
      <c r="F1663" s="9"/>
    </row>
    <row r="1664" spans="1:6" s="10" customFormat="1" x14ac:dyDescent="0.3">
      <c r="F1664" s="9"/>
    </row>
    <row r="1665" spans="1:6" s="10" customFormat="1" x14ac:dyDescent="0.3">
      <c r="F1665" s="9"/>
    </row>
    <row r="1666" spans="1:6" s="10" customFormat="1" x14ac:dyDescent="0.3">
      <c r="F1666" s="9"/>
    </row>
    <row r="1667" spans="1:6" s="10" customFormat="1" x14ac:dyDescent="0.3">
      <c r="F1667" s="9"/>
    </row>
    <row r="1668" spans="1:6" s="10" customFormat="1" x14ac:dyDescent="0.3">
      <c r="F1668" s="9"/>
    </row>
    <row r="1669" spans="1:6" s="10" customFormat="1" x14ac:dyDescent="0.3">
      <c r="F1669" s="9"/>
    </row>
    <row r="1670" spans="1:6" s="10" customFormat="1" x14ac:dyDescent="0.3">
      <c r="F1670" s="9"/>
    </row>
    <row r="1671" spans="1:6" s="10" customFormat="1" x14ac:dyDescent="0.3">
      <c r="A1671" s="9"/>
    </row>
    <row r="1672" spans="1:6" s="10" customFormat="1" x14ac:dyDescent="0.3">
      <c r="F1672" s="9"/>
    </row>
    <row r="1673" spans="1:6" s="10" customFormat="1" x14ac:dyDescent="0.3">
      <c r="F1673" s="9"/>
    </row>
    <row r="1674" spans="1:6" s="10" customFormat="1" x14ac:dyDescent="0.3">
      <c r="F1674" s="9"/>
    </row>
    <row r="1675" spans="1:6" s="10" customFormat="1" x14ac:dyDescent="0.3">
      <c r="A1675" s="9"/>
    </row>
    <row r="1676" spans="1:6" s="10" customFormat="1" x14ac:dyDescent="0.3">
      <c r="A1676" s="9"/>
    </row>
    <row r="1677" spans="1:6" s="10" customFormat="1" x14ac:dyDescent="0.3">
      <c r="F1677" s="9"/>
    </row>
    <row r="1678" spans="1:6" s="10" customFormat="1" x14ac:dyDescent="0.3">
      <c r="F1678" s="9"/>
    </row>
    <row r="1679" spans="1:6" s="10" customFormat="1" x14ac:dyDescent="0.3">
      <c r="F1679" s="9"/>
    </row>
    <row r="1680" spans="1:6" s="10" customFormat="1" x14ac:dyDescent="0.3">
      <c r="F1680" s="9"/>
    </row>
    <row r="1681" spans="1:6" s="10" customFormat="1" x14ac:dyDescent="0.3">
      <c r="F1681" s="9"/>
    </row>
    <row r="1682" spans="1:6" s="10" customFormat="1" x14ac:dyDescent="0.3">
      <c r="A1682" s="9"/>
    </row>
    <row r="1683" spans="1:6" s="10" customFormat="1" x14ac:dyDescent="0.3">
      <c r="A1683" s="9"/>
    </row>
    <row r="1684" spans="1:6" s="10" customFormat="1" x14ac:dyDescent="0.3">
      <c r="F1684" s="9"/>
    </row>
    <row r="1685" spans="1:6" s="10" customFormat="1" x14ac:dyDescent="0.3">
      <c r="F1685" s="9"/>
    </row>
    <row r="1686" spans="1:6" s="10" customFormat="1" x14ac:dyDescent="0.3">
      <c r="A1686" s="9"/>
    </row>
    <row r="1687" spans="1:6" s="10" customFormat="1" x14ac:dyDescent="0.3">
      <c r="A1687" s="9"/>
    </row>
    <row r="1688" spans="1:6" s="10" customFormat="1" x14ac:dyDescent="0.3">
      <c r="A1688" s="9"/>
    </row>
    <row r="1689" spans="1:6" s="10" customFormat="1" x14ac:dyDescent="0.3">
      <c r="A1689" s="9"/>
    </row>
    <row r="1690" spans="1:6" s="10" customFormat="1" x14ac:dyDescent="0.3">
      <c r="F1690" s="9"/>
    </row>
    <row r="1691" spans="1:6" s="10" customFormat="1" x14ac:dyDescent="0.3">
      <c r="F1691" s="9"/>
    </row>
    <row r="1692" spans="1:6" s="10" customFormat="1" x14ac:dyDescent="0.3">
      <c r="F1692" s="9"/>
    </row>
    <row r="1693" spans="1:6" s="10" customFormat="1" x14ac:dyDescent="0.3">
      <c r="F1693" s="9"/>
    </row>
    <row r="1694" spans="1:6" s="10" customFormat="1" x14ac:dyDescent="0.3">
      <c r="A1694" s="9"/>
    </row>
    <row r="1695" spans="1:6" s="10" customFormat="1" x14ac:dyDescent="0.3">
      <c r="A1695" s="9"/>
    </row>
    <row r="1696" spans="1:6" s="10" customFormat="1" x14ac:dyDescent="0.3">
      <c r="F1696" s="9"/>
    </row>
    <row r="1697" spans="1:6" s="10" customFormat="1" x14ac:dyDescent="0.3">
      <c r="F1697" s="9"/>
    </row>
    <row r="1698" spans="1:6" s="10" customFormat="1" x14ac:dyDescent="0.3">
      <c r="F1698" s="9"/>
    </row>
    <row r="1699" spans="1:6" s="10" customFormat="1" x14ac:dyDescent="0.3">
      <c r="F1699" s="9"/>
    </row>
    <row r="1700" spans="1:6" s="10" customFormat="1" x14ac:dyDescent="0.3">
      <c r="A1700" s="9"/>
    </row>
    <row r="1701" spans="1:6" s="10" customFormat="1" x14ac:dyDescent="0.3">
      <c r="A1701" s="9"/>
    </row>
    <row r="1702" spans="1:6" s="10" customFormat="1" x14ac:dyDescent="0.3">
      <c r="A1702" s="9"/>
    </row>
    <row r="1703" spans="1:6" s="10" customFormat="1" x14ac:dyDescent="0.3">
      <c r="A1703" s="9"/>
    </row>
    <row r="1704" spans="1:6" s="10" customFormat="1" x14ac:dyDescent="0.3">
      <c r="A1704" s="9"/>
    </row>
    <row r="1705" spans="1:6" s="10" customFormat="1" x14ac:dyDescent="0.3">
      <c r="A1705" s="9"/>
    </row>
    <row r="1706" spans="1:6" s="10" customFormat="1" x14ac:dyDescent="0.3">
      <c r="A1706" s="9"/>
    </row>
    <row r="1707" spans="1:6" s="10" customFormat="1" x14ac:dyDescent="0.3">
      <c r="F1707" s="9"/>
    </row>
    <row r="1708" spans="1:6" s="10" customFormat="1" x14ac:dyDescent="0.3">
      <c r="A1708" s="9"/>
    </row>
    <row r="1709" spans="1:6" s="10" customFormat="1" x14ac:dyDescent="0.3">
      <c r="A1709" s="9"/>
    </row>
    <row r="1710" spans="1:6" s="10" customFormat="1" x14ac:dyDescent="0.3">
      <c r="A1710" s="9"/>
    </row>
    <row r="1711" spans="1:6" s="10" customFormat="1" x14ac:dyDescent="0.3">
      <c r="A1711" s="9"/>
    </row>
    <row r="1712" spans="1:6" s="10" customFormat="1" x14ac:dyDescent="0.3">
      <c r="A1712" s="9"/>
    </row>
    <row r="1713" spans="1:6" s="10" customFormat="1" x14ac:dyDescent="0.3">
      <c r="A1713" s="9"/>
    </row>
    <row r="1714" spans="1:6" s="10" customFormat="1" x14ac:dyDescent="0.3">
      <c r="A1714" s="9"/>
    </row>
    <row r="1715" spans="1:6" s="10" customFormat="1" x14ac:dyDescent="0.3">
      <c r="A1715" s="9"/>
    </row>
    <row r="1716" spans="1:6" s="10" customFormat="1" x14ac:dyDescent="0.3">
      <c r="A1716" s="9"/>
    </row>
    <row r="1717" spans="1:6" s="10" customFormat="1" x14ac:dyDescent="0.3">
      <c r="A1717" s="9"/>
    </row>
    <row r="1718" spans="1:6" s="10" customFormat="1" x14ac:dyDescent="0.3">
      <c r="A1718" s="9"/>
    </row>
    <row r="1719" spans="1:6" s="10" customFormat="1" x14ac:dyDescent="0.3">
      <c r="A1719" s="9"/>
    </row>
    <row r="1720" spans="1:6" s="10" customFormat="1" x14ac:dyDescent="0.3">
      <c r="F1720" s="9"/>
    </row>
    <row r="1721" spans="1:6" s="10" customFormat="1" x14ac:dyDescent="0.3">
      <c r="F1721" s="9"/>
    </row>
    <row r="1722" spans="1:6" s="10" customFormat="1" x14ac:dyDescent="0.3">
      <c r="F1722" s="9"/>
    </row>
    <row r="1723" spans="1:6" s="10" customFormat="1" x14ac:dyDescent="0.3">
      <c r="F1723" s="9"/>
    </row>
    <row r="1724" spans="1:6" s="10" customFormat="1" x14ac:dyDescent="0.3">
      <c r="F1724" s="9"/>
    </row>
    <row r="1725" spans="1:6" s="10" customFormat="1" x14ac:dyDescent="0.3">
      <c r="F1725" s="9"/>
    </row>
    <row r="1726" spans="1:6" s="10" customFormat="1" x14ac:dyDescent="0.3">
      <c r="A1726" s="9"/>
    </row>
    <row r="1727" spans="1:6" s="10" customFormat="1" x14ac:dyDescent="0.3">
      <c r="A1727" s="9"/>
    </row>
    <row r="1728" spans="1:6" s="10" customFormat="1" x14ac:dyDescent="0.3">
      <c r="A1728" s="9"/>
    </row>
    <row r="1729" spans="1:1" s="10" customFormat="1" x14ac:dyDescent="0.3">
      <c r="A1729" s="9"/>
    </row>
    <row r="1730" spans="1:1" s="10" customFormat="1" x14ac:dyDescent="0.3">
      <c r="A1730" s="9"/>
    </row>
    <row r="1731" spans="1:1" s="10" customFormat="1" x14ac:dyDescent="0.3">
      <c r="A1731" s="9"/>
    </row>
    <row r="1732" spans="1:1" s="10" customFormat="1" x14ac:dyDescent="0.3">
      <c r="A1732" s="9"/>
    </row>
    <row r="1733" spans="1:1" s="10" customFormat="1" x14ac:dyDescent="0.3">
      <c r="A1733" s="9"/>
    </row>
    <row r="1734" spans="1:1" s="10" customFormat="1" x14ac:dyDescent="0.3">
      <c r="A1734" s="9"/>
    </row>
    <row r="1735" spans="1:1" s="10" customFormat="1" x14ac:dyDescent="0.3">
      <c r="A1735" s="9"/>
    </row>
    <row r="1736" spans="1:1" s="10" customFormat="1" x14ac:dyDescent="0.3">
      <c r="A1736" s="9"/>
    </row>
    <row r="1737" spans="1:1" s="10" customFormat="1" x14ac:dyDescent="0.3">
      <c r="A1737" s="9"/>
    </row>
    <row r="1738" spans="1:1" s="10" customFormat="1" x14ac:dyDescent="0.3">
      <c r="A1738" s="9"/>
    </row>
    <row r="1739" spans="1:1" s="10" customFormat="1" x14ac:dyDescent="0.3">
      <c r="A1739" s="9"/>
    </row>
    <row r="1740" spans="1:1" s="10" customFormat="1" x14ac:dyDescent="0.3">
      <c r="A1740" s="9"/>
    </row>
    <row r="1741" spans="1:1" s="10" customFormat="1" x14ac:dyDescent="0.3">
      <c r="A1741" s="9"/>
    </row>
    <row r="1742" spans="1:1" s="10" customFormat="1" x14ac:dyDescent="0.3">
      <c r="A1742" s="9"/>
    </row>
    <row r="1743" spans="1:1" s="10" customFormat="1" x14ac:dyDescent="0.3">
      <c r="A1743" s="9"/>
    </row>
    <row r="1744" spans="1:1" s="10" customFormat="1" x14ac:dyDescent="0.3">
      <c r="A1744" s="9"/>
    </row>
    <row r="1745" spans="1:6" s="10" customFormat="1" x14ac:dyDescent="0.3">
      <c r="F1745" s="9"/>
    </row>
    <row r="1746" spans="1:6" s="10" customFormat="1" x14ac:dyDescent="0.3">
      <c r="F1746" s="9"/>
    </row>
    <row r="1747" spans="1:6" s="10" customFormat="1" x14ac:dyDescent="0.3">
      <c r="A1747" s="9"/>
    </row>
    <row r="1748" spans="1:6" s="10" customFormat="1" x14ac:dyDescent="0.3">
      <c r="A1748" s="9"/>
    </row>
    <row r="1749" spans="1:6" s="10" customFormat="1" x14ac:dyDescent="0.3">
      <c r="A1749" s="9"/>
    </row>
    <row r="1750" spans="1:6" s="10" customFormat="1" x14ac:dyDescent="0.3">
      <c r="A1750" s="9"/>
    </row>
    <row r="1751" spans="1:6" s="10" customFormat="1" x14ac:dyDescent="0.3">
      <c r="A1751" s="9"/>
    </row>
    <row r="1752" spans="1:6" s="10" customFormat="1" x14ac:dyDescent="0.3">
      <c r="A1752" s="9"/>
    </row>
    <row r="1753" spans="1:6" s="10" customFormat="1" x14ac:dyDescent="0.3">
      <c r="A1753" s="9"/>
    </row>
    <row r="1754" spans="1:6" s="10" customFormat="1" x14ac:dyDescent="0.3">
      <c r="A1754" s="9"/>
    </row>
    <row r="1755" spans="1:6" s="10" customFormat="1" x14ac:dyDescent="0.3">
      <c r="A1755" s="9"/>
    </row>
    <row r="1756" spans="1:6" s="10" customFormat="1" x14ac:dyDescent="0.3">
      <c r="A1756" s="9"/>
    </row>
    <row r="1757" spans="1:6" s="10" customFormat="1" x14ac:dyDescent="0.3">
      <c r="A1757" s="9"/>
    </row>
    <row r="1758" spans="1:6" s="10" customFormat="1" x14ac:dyDescent="0.3">
      <c r="A1758" s="9"/>
    </row>
    <row r="1759" spans="1:6" s="10" customFormat="1" x14ac:dyDescent="0.3">
      <c r="A1759" s="9"/>
    </row>
    <row r="1760" spans="1:6" s="10" customFormat="1" x14ac:dyDescent="0.3">
      <c r="A1760" s="9"/>
    </row>
    <row r="1761" spans="1:6" s="10" customFormat="1" x14ac:dyDescent="0.3">
      <c r="A1761" s="9"/>
    </row>
    <row r="1762" spans="1:6" s="10" customFormat="1" x14ac:dyDescent="0.3">
      <c r="A1762" s="9"/>
    </row>
    <row r="1763" spans="1:6" s="10" customFormat="1" x14ac:dyDescent="0.3">
      <c r="A1763" s="9"/>
    </row>
    <row r="1764" spans="1:6" s="10" customFormat="1" x14ac:dyDescent="0.3">
      <c r="A1764" s="9"/>
    </row>
    <row r="1765" spans="1:6" s="10" customFormat="1" x14ac:dyDescent="0.3">
      <c r="A1765" s="9"/>
    </row>
    <row r="1766" spans="1:6" s="10" customFormat="1" x14ac:dyDescent="0.3">
      <c r="A1766" s="9"/>
    </row>
    <row r="1767" spans="1:6" s="10" customFormat="1" x14ac:dyDescent="0.3">
      <c r="F1767" s="9"/>
    </row>
    <row r="1768" spans="1:6" s="10" customFormat="1" x14ac:dyDescent="0.3">
      <c r="F1768" s="9"/>
    </row>
    <row r="1769" spans="1:6" s="10" customFormat="1" x14ac:dyDescent="0.3">
      <c r="F1769" s="9"/>
    </row>
    <row r="1770" spans="1:6" s="10" customFormat="1" x14ac:dyDescent="0.3">
      <c r="F1770" s="9"/>
    </row>
    <row r="1771" spans="1:6" s="10" customFormat="1" x14ac:dyDescent="0.3">
      <c r="A1771" s="9"/>
    </row>
    <row r="1772" spans="1:6" s="10" customFormat="1" x14ac:dyDescent="0.3">
      <c r="A1772" s="9"/>
    </row>
    <row r="1773" spans="1:6" s="10" customFormat="1" x14ac:dyDescent="0.3">
      <c r="F1773" s="9"/>
    </row>
    <row r="1774" spans="1:6" s="10" customFormat="1" x14ac:dyDescent="0.3">
      <c r="F1774" s="9"/>
    </row>
    <row r="1775" spans="1:6" s="10" customFormat="1" x14ac:dyDescent="0.3">
      <c r="A1775" s="9"/>
    </row>
    <row r="1776" spans="1:6" s="10" customFormat="1" x14ac:dyDescent="0.3">
      <c r="A1776" s="9"/>
    </row>
    <row r="1777" spans="1:6" s="10" customFormat="1" x14ac:dyDescent="0.3">
      <c r="A1777" s="9"/>
    </row>
    <row r="1778" spans="1:6" s="10" customFormat="1" x14ac:dyDescent="0.3">
      <c r="F1778" s="9"/>
    </row>
    <row r="1779" spans="1:6" s="10" customFormat="1" x14ac:dyDescent="0.3">
      <c r="F1779" s="9"/>
    </row>
    <row r="1780" spans="1:6" s="10" customFormat="1" x14ac:dyDescent="0.3">
      <c r="F1780" s="9"/>
    </row>
    <row r="1781" spans="1:6" s="10" customFormat="1" x14ac:dyDescent="0.3">
      <c r="F1781" s="9"/>
    </row>
    <row r="1782" spans="1:6" s="10" customFormat="1" x14ac:dyDescent="0.3">
      <c r="A1782" s="9"/>
    </row>
    <row r="1783" spans="1:6" s="10" customFormat="1" x14ac:dyDescent="0.3">
      <c r="F1783" s="9"/>
    </row>
    <row r="1784" spans="1:6" s="10" customFormat="1" x14ac:dyDescent="0.3">
      <c r="F1784" s="9"/>
    </row>
    <row r="1785" spans="1:6" s="10" customFormat="1" x14ac:dyDescent="0.3">
      <c r="F1785" s="9"/>
    </row>
    <row r="1786" spans="1:6" s="10" customFormat="1" x14ac:dyDescent="0.3">
      <c r="F1786" s="9"/>
    </row>
    <row r="1787" spans="1:6" s="10" customFormat="1" x14ac:dyDescent="0.3">
      <c r="A1787" s="9"/>
    </row>
    <row r="1788" spans="1:6" s="10" customFormat="1" x14ac:dyDescent="0.3">
      <c r="F1788" s="9"/>
    </row>
    <row r="1789" spans="1:6" s="10" customFormat="1" x14ac:dyDescent="0.3">
      <c r="F1789" s="9"/>
    </row>
    <row r="1790" spans="1:6" s="10" customFormat="1" x14ac:dyDescent="0.3">
      <c r="A1790" s="9"/>
    </row>
    <row r="1791" spans="1:6" s="10" customFormat="1" x14ac:dyDescent="0.3">
      <c r="A1791" s="9"/>
    </row>
    <row r="1792" spans="1:6" s="10" customFormat="1" x14ac:dyDescent="0.3">
      <c r="F1792" s="9"/>
    </row>
    <row r="1793" spans="1:6" s="10" customFormat="1" x14ac:dyDescent="0.3">
      <c r="F1793" s="9"/>
    </row>
    <row r="1794" spans="1:6" s="10" customFormat="1" x14ac:dyDescent="0.3">
      <c r="A1794" s="9"/>
    </row>
    <row r="1795" spans="1:6" s="10" customFormat="1" x14ac:dyDescent="0.3">
      <c r="F1795" s="9"/>
    </row>
    <row r="1796" spans="1:6" s="10" customFormat="1" x14ac:dyDescent="0.3">
      <c r="F1796" s="9"/>
    </row>
    <row r="1797" spans="1:6" s="10" customFormat="1" x14ac:dyDescent="0.3">
      <c r="F1797" s="9"/>
    </row>
    <row r="1798" spans="1:6" s="10" customFormat="1" x14ac:dyDescent="0.3">
      <c r="F1798" s="9"/>
    </row>
    <row r="1799" spans="1:6" s="10" customFormat="1" x14ac:dyDescent="0.3">
      <c r="F1799" s="9"/>
    </row>
    <row r="1800" spans="1:6" s="10" customFormat="1" x14ac:dyDescent="0.3">
      <c r="F1800" s="9"/>
    </row>
    <row r="1801" spans="1:6" s="10" customFormat="1" x14ac:dyDescent="0.3">
      <c r="A1801" s="9"/>
    </row>
    <row r="1802" spans="1:6" s="10" customFormat="1" x14ac:dyDescent="0.3">
      <c r="A1802" s="9"/>
    </row>
    <row r="1803" spans="1:6" s="10" customFormat="1" x14ac:dyDescent="0.3">
      <c r="F1803" s="9"/>
    </row>
    <row r="1804" spans="1:6" s="10" customFormat="1" x14ac:dyDescent="0.3">
      <c r="A1804" s="9"/>
    </row>
    <row r="1805" spans="1:6" s="10" customFormat="1" x14ac:dyDescent="0.3">
      <c r="F1805" s="9"/>
    </row>
    <row r="1806" spans="1:6" s="10" customFormat="1" x14ac:dyDescent="0.3">
      <c r="A1806" s="9"/>
    </row>
    <row r="1807" spans="1:6" s="10" customFormat="1" x14ac:dyDescent="0.3">
      <c r="A1807" s="9"/>
    </row>
    <row r="1808" spans="1:6" s="10" customFormat="1" x14ac:dyDescent="0.3">
      <c r="F1808" s="9"/>
    </row>
    <row r="1809" spans="1:6" s="10" customFormat="1" x14ac:dyDescent="0.3">
      <c r="F1809" s="9"/>
    </row>
    <row r="1810" spans="1:6" s="10" customFormat="1" x14ac:dyDescent="0.3">
      <c r="F1810" s="9"/>
    </row>
    <row r="1811" spans="1:6" s="10" customFormat="1" x14ac:dyDescent="0.3">
      <c r="A1811" s="9"/>
    </row>
    <row r="1812" spans="1:6" s="10" customFormat="1" x14ac:dyDescent="0.3">
      <c r="A1812" s="9"/>
    </row>
    <row r="1813" spans="1:6" s="10" customFormat="1" x14ac:dyDescent="0.3">
      <c r="A1813" s="9"/>
    </row>
    <row r="1814" spans="1:6" s="10" customFormat="1" x14ac:dyDescent="0.3">
      <c r="A1814" s="9"/>
    </row>
    <row r="1815" spans="1:6" s="10" customFormat="1" x14ac:dyDescent="0.3">
      <c r="A1815" s="9"/>
    </row>
    <row r="1816" spans="1:6" s="10" customFormat="1" x14ac:dyDescent="0.3">
      <c r="A1816" s="9"/>
    </row>
    <row r="1817" spans="1:6" s="10" customFormat="1" x14ac:dyDescent="0.3">
      <c r="F1817" s="9"/>
    </row>
    <row r="1818" spans="1:6" s="10" customFormat="1" x14ac:dyDescent="0.3">
      <c r="A1818" s="9"/>
    </row>
    <row r="1819" spans="1:6" s="10" customFormat="1" x14ac:dyDescent="0.3">
      <c r="F1819" s="9"/>
    </row>
    <row r="1820" spans="1:6" s="10" customFormat="1" x14ac:dyDescent="0.3">
      <c r="F1820" s="9"/>
    </row>
    <row r="1821" spans="1:6" s="10" customFormat="1" x14ac:dyDescent="0.3">
      <c r="F1821" s="9"/>
    </row>
    <row r="1822" spans="1:6" s="10" customFormat="1" x14ac:dyDescent="0.3">
      <c r="A1822" s="9"/>
    </row>
    <row r="1823" spans="1:6" s="10" customFormat="1" x14ac:dyDescent="0.3">
      <c r="A1823" s="9"/>
    </row>
    <row r="1824" spans="1:6" s="10" customFormat="1" x14ac:dyDescent="0.3">
      <c r="A1824" s="9"/>
    </row>
    <row r="1825" spans="1:6" s="10" customFormat="1" x14ac:dyDescent="0.3">
      <c r="F1825" s="9"/>
    </row>
    <row r="1826" spans="1:6" s="10" customFormat="1" x14ac:dyDescent="0.3">
      <c r="F1826" s="9"/>
    </row>
    <row r="1827" spans="1:6" s="10" customFormat="1" x14ac:dyDescent="0.3">
      <c r="F1827" s="9"/>
    </row>
    <row r="1828" spans="1:6" s="10" customFormat="1" x14ac:dyDescent="0.3">
      <c r="F1828" s="9"/>
    </row>
    <row r="1829" spans="1:6" s="10" customFormat="1" x14ac:dyDescent="0.3">
      <c r="F1829" s="9"/>
    </row>
    <row r="1830" spans="1:6" s="10" customFormat="1" x14ac:dyDescent="0.3">
      <c r="F1830" s="9"/>
    </row>
    <row r="1831" spans="1:6" s="10" customFormat="1" x14ac:dyDescent="0.3">
      <c r="F1831" s="9"/>
    </row>
    <row r="1832" spans="1:6" s="10" customFormat="1" x14ac:dyDescent="0.3">
      <c r="F1832" s="9"/>
    </row>
    <row r="1833" spans="1:6" s="10" customFormat="1" x14ac:dyDescent="0.3">
      <c r="F1833" s="9"/>
    </row>
    <row r="1834" spans="1:6" s="10" customFormat="1" x14ac:dyDescent="0.3">
      <c r="F1834" s="9"/>
    </row>
    <row r="1835" spans="1:6" s="10" customFormat="1" x14ac:dyDescent="0.3">
      <c r="F1835" s="9"/>
    </row>
    <row r="1836" spans="1:6" s="10" customFormat="1" x14ac:dyDescent="0.3">
      <c r="A1836" s="9"/>
    </row>
    <row r="1837" spans="1:6" s="10" customFormat="1" x14ac:dyDescent="0.3">
      <c r="A1837" s="9"/>
    </row>
    <row r="1838" spans="1:6" s="10" customFormat="1" x14ac:dyDescent="0.3">
      <c r="F1838" s="9"/>
    </row>
    <row r="1839" spans="1:6" s="10" customFormat="1" x14ac:dyDescent="0.3">
      <c r="F1839" s="9"/>
    </row>
    <row r="1840" spans="1:6" s="10" customFormat="1" x14ac:dyDescent="0.3">
      <c r="F1840" s="9"/>
    </row>
    <row r="1841" spans="1:6" s="10" customFormat="1" x14ac:dyDescent="0.3">
      <c r="F1841" s="9"/>
    </row>
    <row r="1842" spans="1:6" s="10" customFormat="1" x14ac:dyDescent="0.3">
      <c r="F1842" s="9"/>
    </row>
    <row r="1843" spans="1:6" s="10" customFormat="1" x14ac:dyDescent="0.3">
      <c r="F1843" s="9"/>
    </row>
    <row r="1844" spans="1:6" s="10" customFormat="1" x14ac:dyDescent="0.3">
      <c r="F1844" s="9"/>
    </row>
    <row r="1845" spans="1:6" s="10" customFormat="1" x14ac:dyDescent="0.3">
      <c r="F1845" s="9"/>
    </row>
    <row r="1846" spans="1:6" s="10" customFormat="1" x14ac:dyDescent="0.3">
      <c r="F1846" s="9"/>
    </row>
    <row r="1847" spans="1:6" s="10" customFormat="1" x14ac:dyDescent="0.3">
      <c r="F1847" s="9"/>
    </row>
    <row r="1848" spans="1:6" s="10" customFormat="1" x14ac:dyDescent="0.3">
      <c r="F1848" s="9"/>
    </row>
    <row r="1849" spans="1:6" s="10" customFormat="1" x14ac:dyDescent="0.3">
      <c r="F1849" s="9"/>
    </row>
    <row r="1850" spans="1:6" s="10" customFormat="1" x14ac:dyDescent="0.3">
      <c r="F1850" s="9"/>
    </row>
    <row r="1851" spans="1:6" s="10" customFormat="1" x14ac:dyDescent="0.3">
      <c r="A1851" s="9"/>
    </row>
    <row r="1852" spans="1:6" s="10" customFormat="1" x14ac:dyDescent="0.3">
      <c r="A1852" s="9"/>
    </row>
    <row r="1853" spans="1:6" s="10" customFormat="1" x14ac:dyDescent="0.3">
      <c r="A1853" s="9"/>
    </row>
    <row r="1854" spans="1:6" s="10" customFormat="1" x14ac:dyDescent="0.3">
      <c r="A1854" s="9"/>
    </row>
    <row r="1855" spans="1:6" s="10" customFormat="1" x14ac:dyDescent="0.3">
      <c r="A1855" s="9"/>
    </row>
    <row r="1856" spans="1:6" s="10" customFormat="1" x14ac:dyDescent="0.3">
      <c r="A1856" s="9"/>
    </row>
    <row r="1857" spans="1:6" s="10" customFormat="1" x14ac:dyDescent="0.3">
      <c r="A1857" s="9"/>
    </row>
    <row r="1858" spans="1:6" s="10" customFormat="1" x14ac:dyDescent="0.3">
      <c r="A1858" s="9"/>
    </row>
    <row r="1859" spans="1:6" s="10" customFormat="1" x14ac:dyDescent="0.3">
      <c r="A1859" s="9"/>
    </row>
    <row r="1860" spans="1:6" s="10" customFormat="1" x14ac:dyDescent="0.3">
      <c r="F1860" s="9"/>
    </row>
    <row r="1861" spans="1:6" s="10" customFormat="1" x14ac:dyDescent="0.3">
      <c r="F1861" s="9"/>
    </row>
    <row r="1862" spans="1:6" s="10" customFormat="1" x14ac:dyDescent="0.3">
      <c r="F1862" s="9"/>
    </row>
    <row r="1863" spans="1:6" s="10" customFormat="1" x14ac:dyDescent="0.3">
      <c r="F1863" s="9"/>
    </row>
    <row r="1864" spans="1:6" s="10" customFormat="1" x14ac:dyDescent="0.3">
      <c r="F1864" s="9"/>
    </row>
    <row r="1865" spans="1:6" s="10" customFormat="1" x14ac:dyDescent="0.3">
      <c r="F1865" s="9"/>
    </row>
    <row r="1866" spans="1:6" s="10" customFormat="1" x14ac:dyDescent="0.3">
      <c r="F1866" s="9"/>
    </row>
    <row r="1867" spans="1:6" s="10" customFormat="1" x14ac:dyDescent="0.3">
      <c r="F1867" s="9"/>
    </row>
    <row r="1868" spans="1:6" s="10" customFormat="1" x14ac:dyDescent="0.3">
      <c r="F1868" s="9"/>
    </row>
    <row r="1869" spans="1:6" s="10" customFormat="1" x14ac:dyDescent="0.3">
      <c r="F1869" s="9"/>
    </row>
    <row r="1870" spans="1:6" s="10" customFormat="1" x14ac:dyDescent="0.3">
      <c r="F1870" s="9"/>
    </row>
    <row r="1871" spans="1:6" s="10" customFormat="1" x14ac:dyDescent="0.3">
      <c r="F1871" s="9"/>
    </row>
    <row r="1872" spans="1:6" s="10" customFormat="1" x14ac:dyDescent="0.3">
      <c r="A1872" s="9"/>
    </row>
    <row r="1873" spans="1:6" s="10" customFormat="1" x14ac:dyDescent="0.3">
      <c r="A1873" s="9"/>
    </row>
    <row r="1874" spans="1:6" s="10" customFormat="1" x14ac:dyDescent="0.3">
      <c r="F1874" s="9"/>
    </row>
    <row r="1875" spans="1:6" s="10" customFormat="1" x14ac:dyDescent="0.3">
      <c r="F1875" s="9"/>
    </row>
    <row r="1876" spans="1:6" s="10" customFormat="1" x14ac:dyDescent="0.3">
      <c r="F1876" s="9"/>
    </row>
    <row r="1877" spans="1:6" s="10" customFormat="1" x14ac:dyDescent="0.3">
      <c r="F1877" s="9"/>
    </row>
    <row r="1878" spans="1:6" s="10" customFormat="1" x14ac:dyDescent="0.3">
      <c r="A1878" s="9"/>
    </row>
    <row r="1879" spans="1:6" s="10" customFormat="1" x14ac:dyDescent="0.3">
      <c r="F1879" s="9"/>
    </row>
    <row r="1880" spans="1:6" s="10" customFormat="1" x14ac:dyDescent="0.3">
      <c r="F1880" s="9"/>
    </row>
    <row r="1881" spans="1:6" s="10" customFormat="1" x14ac:dyDescent="0.3">
      <c r="A1881" s="9"/>
    </row>
    <row r="1882" spans="1:6" s="10" customFormat="1" x14ac:dyDescent="0.3">
      <c r="A1882" s="9"/>
    </row>
    <row r="1883" spans="1:6" s="10" customFormat="1" x14ac:dyDescent="0.3">
      <c r="A1883" s="9"/>
    </row>
    <row r="1884" spans="1:6" s="10" customFormat="1" x14ac:dyDescent="0.3">
      <c r="F1884" s="9"/>
    </row>
    <row r="1885" spans="1:6" s="10" customFormat="1" x14ac:dyDescent="0.3">
      <c r="F1885" s="9"/>
    </row>
    <row r="1886" spans="1:6" s="10" customFormat="1" x14ac:dyDescent="0.3">
      <c r="F1886" s="9"/>
    </row>
    <row r="1887" spans="1:6" s="10" customFormat="1" x14ac:dyDescent="0.3">
      <c r="F1887" s="9"/>
    </row>
    <row r="1888" spans="1:6" s="10" customFormat="1" x14ac:dyDescent="0.3">
      <c r="F1888" s="9"/>
    </row>
    <row r="1889" spans="1:6" s="10" customFormat="1" x14ac:dyDescent="0.3">
      <c r="F1889" s="9"/>
    </row>
    <row r="1890" spans="1:6" s="10" customFormat="1" x14ac:dyDescent="0.3">
      <c r="F1890" s="9"/>
    </row>
    <row r="1891" spans="1:6" s="10" customFormat="1" x14ac:dyDescent="0.3">
      <c r="F1891" s="9"/>
    </row>
    <row r="1892" spans="1:6" s="10" customFormat="1" x14ac:dyDescent="0.3">
      <c r="F1892" s="9"/>
    </row>
    <row r="1893" spans="1:6" s="10" customFormat="1" x14ac:dyDescent="0.3">
      <c r="F1893" s="9"/>
    </row>
    <row r="1894" spans="1:6" s="10" customFormat="1" x14ac:dyDescent="0.3">
      <c r="F1894" s="9"/>
    </row>
    <row r="1895" spans="1:6" s="10" customFormat="1" x14ac:dyDescent="0.3">
      <c r="F1895" s="9"/>
    </row>
    <row r="1896" spans="1:6" s="10" customFormat="1" x14ac:dyDescent="0.3">
      <c r="F1896" s="9"/>
    </row>
    <row r="1897" spans="1:6" s="10" customFormat="1" x14ac:dyDescent="0.3">
      <c r="F1897" s="9"/>
    </row>
    <row r="1898" spans="1:6" s="10" customFormat="1" x14ac:dyDescent="0.3">
      <c r="F1898" s="9"/>
    </row>
    <row r="1899" spans="1:6" s="10" customFormat="1" x14ac:dyDescent="0.3">
      <c r="F1899" s="9"/>
    </row>
    <row r="1900" spans="1:6" s="10" customFormat="1" x14ac:dyDescent="0.3">
      <c r="F1900" s="9"/>
    </row>
    <row r="1901" spans="1:6" s="10" customFormat="1" x14ac:dyDescent="0.3">
      <c r="F1901" s="9"/>
    </row>
    <row r="1902" spans="1:6" s="10" customFormat="1" x14ac:dyDescent="0.3">
      <c r="F1902" s="9"/>
    </row>
    <row r="1903" spans="1:6" s="10" customFormat="1" x14ac:dyDescent="0.3">
      <c r="F1903" s="9"/>
    </row>
    <row r="1904" spans="1:6" s="10" customFormat="1" x14ac:dyDescent="0.3">
      <c r="A1904" s="9"/>
    </row>
    <row r="1905" spans="1:1" s="10" customFormat="1" x14ac:dyDescent="0.3">
      <c r="A1905" s="9"/>
    </row>
    <row r="1906" spans="1:1" s="10" customFormat="1" x14ac:dyDescent="0.3">
      <c r="A1906" s="9"/>
    </row>
    <row r="1907" spans="1:1" s="10" customFormat="1" x14ac:dyDescent="0.3">
      <c r="A1907" s="9"/>
    </row>
    <row r="1908" spans="1:1" s="10" customFormat="1" x14ac:dyDescent="0.3">
      <c r="A1908" s="9"/>
    </row>
    <row r="1909" spans="1:1" s="10" customFormat="1" x14ac:dyDescent="0.3">
      <c r="A1909" s="9"/>
    </row>
    <row r="1910" spans="1:1" s="10" customFormat="1" x14ac:dyDescent="0.3">
      <c r="A1910" s="9"/>
    </row>
    <row r="1911" spans="1:1" s="10" customFormat="1" x14ac:dyDescent="0.3">
      <c r="A1911" s="9"/>
    </row>
    <row r="1912" spans="1:1" s="10" customFormat="1" x14ac:dyDescent="0.3">
      <c r="A1912" s="9"/>
    </row>
    <row r="1913" spans="1:1" s="10" customFormat="1" x14ac:dyDescent="0.3">
      <c r="A1913" s="9"/>
    </row>
    <row r="1914" spans="1:1" s="10" customFormat="1" x14ac:dyDescent="0.3">
      <c r="A1914" s="9"/>
    </row>
    <row r="1915" spans="1:1" s="10" customFormat="1" x14ac:dyDescent="0.3">
      <c r="A1915" s="9"/>
    </row>
    <row r="1916" spans="1:1" s="10" customFormat="1" x14ac:dyDescent="0.3">
      <c r="A1916" s="9"/>
    </row>
    <row r="1917" spans="1:1" s="10" customFormat="1" x14ac:dyDescent="0.3">
      <c r="A1917" s="9"/>
    </row>
    <row r="1918" spans="1:1" s="10" customFormat="1" x14ac:dyDescent="0.3">
      <c r="A1918" s="9"/>
    </row>
    <row r="1919" spans="1:1" s="10" customFormat="1" x14ac:dyDescent="0.3">
      <c r="A1919" s="9"/>
    </row>
    <row r="1920" spans="1:1" s="10" customFormat="1" x14ac:dyDescent="0.3">
      <c r="A1920" s="9"/>
    </row>
    <row r="1921" spans="1:1" s="10" customFormat="1" x14ac:dyDescent="0.3">
      <c r="A1921" s="9"/>
    </row>
    <row r="1922" spans="1:1" s="10" customFormat="1" x14ac:dyDescent="0.3">
      <c r="A1922" s="9"/>
    </row>
    <row r="1923" spans="1:1" s="10" customFormat="1" x14ac:dyDescent="0.3">
      <c r="A1923" s="9"/>
    </row>
    <row r="1924" spans="1:1" s="10" customFormat="1" x14ac:dyDescent="0.3">
      <c r="A1924" s="9"/>
    </row>
    <row r="1925" spans="1:1" s="10" customFormat="1" x14ac:dyDescent="0.3">
      <c r="A1925" s="9"/>
    </row>
    <row r="1926" spans="1:1" s="10" customFormat="1" x14ac:dyDescent="0.3">
      <c r="A1926" s="9"/>
    </row>
    <row r="1927" spans="1:1" s="10" customFormat="1" x14ac:dyDescent="0.3">
      <c r="A1927" s="9"/>
    </row>
    <row r="1928" spans="1:1" s="10" customFormat="1" x14ac:dyDescent="0.3">
      <c r="A1928" s="9"/>
    </row>
    <row r="1929" spans="1:1" s="10" customFormat="1" x14ac:dyDescent="0.3">
      <c r="A1929" s="9"/>
    </row>
    <row r="1930" spans="1:1" s="10" customFormat="1" x14ac:dyDescent="0.3">
      <c r="A1930" s="9"/>
    </row>
    <row r="1931" spans="1:1" s="10" customFormat="1" x14ac:dyDescent="0.3">
      <c r="A1931" s="9"/>
    </row>
    <row r="1932" spans="1:1" s="10" customFormat="1" x14ac:dyDescent="0.3">
      <c r="A1932" s="9"/>
    </row>
    <row r="1933" spans="1:1" s="10" customFormat="1" x14ac:dyDescent="0.3">
      <c r="A1933" s="9"/>
    </row>
    <row r="1934" spans="1:1" s="10" customFormat="1" x14ac:dyDescent="0.3">
      <c r="A1934" s="9"/>
    </row>
    <row r="1935" spans="1:1" s="10" customFormat="1" x14ac:dyDescent="0.3">
      <c r="A1935" s="9"/>
    </row>
    <row r="1936" spans="1:1" s="10" customFormat="1" x14ac:dyDescent="0.3">
      <c r="A1936" s="9"/>
    </row>
    <row r="1937" spans="1:1" s="10" customFormat="1" x14ac:dyDescent="0.3">
      <c r="A1937" s="9"/>
    </row>
    <row r="1938" spans="1:1" s="10" customFormat="1" x14ac:dyDescent="0.3">
      <c r="A1938" s="9"/>
    </row>
    <row r="1939" spans="1:1" s="10" customFormat="1" x14ac:dyDescent="0.3">
      <c r="A1939" s="9"/>
    </row>
    <row r="1940" spans="1:1" s="10" customFormat="1" x14ac:dyDescent="0.3">
      <c r="A1940" s="9"/>
    </row>
    <row r="1941" spans="1:1" s="10" customFormat="1" x14ac:dyDescent="0.3">
      <c r="A1941" s="9"/>
    </row>
    <row r="1942" spans="1:1" s="10" customFormat="1" x14ac:dyDescent="0.3">
      <c r="A1942" s="9"/>
    </row>
    <row r="1943" spans="1:1" s="10" customFormat="1" x14ac:dyDescent="0.3">
      <c r="A1943" s="9"/>
    </row>
    <row r="1944" spans="1:1" s="10" customFormat="1" x14ac:dyDescent="0.3">
      <c r="A1944" s="9"/>
    </row>
    <row r="1945" spans="1:1" s="10" customFormat="1" x14ac:dyDescent="0.3">
      <c r="A1945" s="9"/>
    </row>
    <row r="1946" spans="1:1" s="10" customFormat="1" x14ac:dyDescent="0.3">
      <c r="A1946" s="9"/>
    </row>
    <row r="1947" spans="1:1" s="10" customFormat="1" x14ac:dyDescent="0.3">
      <c r="A1947" s="9"/>
    </row>
    <row r="1948" spans="1:1" s="10" customFormat="1" x14ac:dyDescent="0.3">
      <c r="A1948" s="9"/>
    </row>
    <row r="1949" spans="1:1" s="10" customFormat="1" x14ac:dyDescent="0.3">
      <c r="A1949" s="9"/>
    </row>
    <row r="1950" spans="1:1" s="10" customFormat="1" x14ac:dyDescent="0.3">
      <c r="A1950" s="9"/>
    </row>
    <row r="1951" spans="1:1" s="10" customFormat="1" x14ac:dyDescent="0.3">
      <c r="A1951" s="9"/>
    </row>
    <row r="1952" spans="1:1" s="10" customFormat="1" x14ac:dyDescent="0.3">
      <c r="A1952" s="9"/>
    </row>
    <row r="1953" spans="1:1" s="10" customFormat="1" x14ac:dyDescent="0.3">
      <c r="A1953" s="9"/>
    </row>
    <row r="1954" spans="1:1" s="10" customFormat="1" x14ac:dyDescent="0.3">
      <c r="A1954" s="9"/>
    </row>
    <row r="1955" spans="1:1" s="10" customFormat="1" x14ac:dyDescent="0.3">
      <c r="A1955" s="9"/>
    </row>
    <row r="1956" spans="1:1" s="10" customFormat="1" x14ac:dyDescent="0.3">
      <c r="A1956" s="9"/>
    </row>
    <row r="1957" spans="1:1" s="10" customFormat="1" x14ac:dyDescent="0.3">
      <c r="A1957" s="9"/>
    </row>
    <row r="1958" spans="1:1" s="10" customFormat="1" x14ac:dyDescent="0.3">
      <c r="A1958" s="9"/>
    </row>
    <row r="1959" spans="1:1" s="10" customFormat="1" x14ac:dyDescent="0.3">
      <c r="A1959" s="9"/>
    </row>
    <row r="1960" spans="1:1" s="10" customFormat="1" x14ac:dyDescent="0.3">
      <c r="A1960" s="9"/>
    </row>
    <row r="1961" spans="1:1" s="10" customFormat="1" x14ac:dyDescent="0.3">
      <c r="A1961" s="9"/>
    </row>
    <row r="1962" spans="1:1" s="10" customFormat="1" x14ac:dyDescent="0.3">
      <c r="A1962" s="9"/>
    </row>
    <row r="1963" spans="1:1" s="10" customFormat="1" x14ac:dyDescent="0.3">
      <c r="A1963" s="9"/>
    </row>
    <row r="1964" spans="1:1" s="10" customFormat="1" x14ac:dyDescent="0.3">
      <c r="A1964" s="9"/>
    </row>
    <row r="1965" spans="1:1" s="10" customFormat="1" x14ac:dyDescent="0.3">
      <c r="A1965" s="9"/>
    </row>
    <row r="1966" spans="1:1" s="10" customFormat="1" x14ac:dyDescent="0.3">
      <c r="A1966" s="9"/>
    </row>
    <row r="1967" spans="1:1" s="10" customFormat="1" x14ac:dyDescent="0.3">
      <c r="A1967" s="9"/>
    </row>
    <row r="1968" spans="1:1" s="10" customFormat="1" x14ac:dyDescent="0.3">
      <c r="A1968" s="9"/>
    </row>
    <row r="1969" spans="1:1" s="10" customFormat="1" x14ac:dyDescent="0.3">
      <c r="A1969" s="9"/>
    </row>
    <row r="1970" spans="1:1" s="10" customFormat="1" x14ac:dyDescent="0.3">
      <c r="A1970" s="9"/>
    </row>
    <row r="1971" spans="1:1" s="10" customFormat="1" x14ac:dyDescent="0.3">
      <c r="A1971" s="9"/>
    </row>
    <row r="1972" spans="1:1" s="10" customFormat="1" x14ac:dyDescent="0.3">
      <c r="A1972" s="9"/>
    </row>
    <row r="1973" spans="1:1" s="10" customFormat="1" x14ac:dyDescent="0.3">
      <c r="A1973" s="9"/>
    </row>
    <row r="1974" spans="1:1" s="10" customFormat="1" x14ac:dyDescent="0.3">
      <c r="A1974" s="9"/>
    </row>
    <row r="1975" spans="1:1" s="10" customFormat="1" x14ac:dyDescent="0.3">
      <c r="A1975" s="9"/>
    </row>
    <row r="1976" spans="1:1" s="10" customFormat="1" x14ac:dyDescent="0.3">
      <c r="A1976" s="9"/>
    </row>
    <row r="1977" spans="1:1" s="10" customFormat="1" x14ac:dyDescent="0.3">
      <c r="A1977" s="9"/>
    </row>
    <row r="1978" spans="1:1" s="10" customFormat="1" x14ac:dyDescent="0.3">
      <c r="A1978" s="9"/>
    </row>
    <row r="1979" spans="1:1" s="10" customFormat="1" x14ac:dyDescent="0.3">
      <c r="A1979" s="9"/>
    </row>
    <row r="1980" spans="1:1" s="10" customFormat="1" x14ac:dyDescent="0.3">
      <c r="A1980" s="9"/>
    </row>
    <row r="1981" spans="1:1" s="10" customFormat="1" x14ac:dyDescent="0.3">
      <c r="A1981" s="9"/>
    </row>
    <row r="1982" spans="1:1" s="10" customFormat="1" x14ac:dyDescent="0.3">
      <c r="A1982" s="9"/>
    </row>
    <row r="1983" spans="1:1" s="10" customFormat="1" x14ac:dyDescent="0.3">
      <c r="A1983" s="9"/>
    </row>
    <row r="1984" spans="1:1" s="10" customFormat="1" x14ac:dyDescent="0.3">
      <c r="A1984" s="9"/>
    </row>
    <row r="1985" spans="1:6" s="10" customFormat="1" x14ac:dyDescent="0.3">
      <c r="A1985" s="9"/>
    </row>
    <row r="1986" spans="1:6" s="10" customFormat="1" x14ac:dyDescent="0.3">
      <c r="A1986" s="9"/>
    </row>
    <row r="1987" spans="1:6" s="10" customFormat="1" x14ac:dyDescent="0.3">
      <c r="A1987" s="9"/>
    </row>
    <row r="1988" spans="1:6" s="10" customFormat="1" x14ac:dyDescent="0.3">
      <c r="F1988" s="9"/>
    </row>
    <row r="1989" spans="1:6" s="10" customFormat="1" x14ac:dyDescent="0.3">
      <c r="F1989" s="9"/>
    </row>
    <row r="1990" spans="1:6" s="10" customFormat="1" x14ac:dyDescent="0.3">
      <c r="F1990" s="9"/>
    </row>
    <row r="1991" spans="1:6" s="10" customFormat="1" x14ac:dyDescent="0.3">
      <c r="F1991" s="9"/>
    </row>
    <row r="1992" spans="1:6" s="10" customFormat="1" x14ac:dyDescent="0.3">
      <c r="F1992" s="9"/>
    </row>
    <row r="1993" spans="1:6" s="10" customFormat="1" x14ac:dyDescent="0.3">
      <c r="F1993" s="9"/>
    </row>
    <row r="1994" spans="1:6" s="10" customFormat="1" x14ac:dyDescent="0.3">
      <c r="F1994" s="9"/>
    </row>
    <row r="1995" spans="1:6" s="10" customFormat="1" x14ac:dyDescent="0.3">
      <c r="F1995" s="9"/>
    </row>
    <row r="1996" spans="1:6" s="10" customFormat="1" x14ac:dyDescent="0.3">
      <c r="F1996" s="9"/>
    </row>
    <row r="1997" spans="1:6" s="10" customFormat="1" x14ac:dyDescent="0.3">
      <c r="F1997" s="9"/>
    </row>
    <row r="1998" spans="1:6" s="10" customFormat="1" x14ac:dyDescent="0.3">
      <c r="F1998" s="9"/>
    </row>
    <row r="1999" spans="1:6" s="10" customFormat="1" x14ac:dyDescent="0.3">
      <c r="F1999" s="9"/>
    </row>
    <row r="2000" spans="1:6" s="10" customFormat="1" x14ac:dyDescent="0.3">
      <c r="F2000" s="9"/>
    </row>
    <row r="2001" spans="1:6" s="10" customFormat="1" x14ac:dyDescent="0.3">
      <c r="F2001" s="9"/>
    </row>
    <row r="2002" spans="1:6" s="10" customFormat="1" x14ac:dyDescent="0.3">
      <c r="F2002" s="9"/>
    </row>
    <row r="2003" spans="1:6" s="10" customFormat="1" x14ac:dyDescent="0.3">
      <c r="F2003" s="9"/>
    </row>
    <row r="2004" spans="1:6" s="10" customFormat="1" x14ac:dyDescent="0.3">
      <c r="A2004" s="9"/>
    </row>
    <row r="2005" spans="1:6" s="10" customFormat="1" x14ac:dyDescent="0.3">
      <c r="A2005" s="9"/>
    </row>
    <row r="2006" spans="1:6" s="10" customFormat="1" x14ac:dyDescent="0.3">
      <c r="A2006" s="9"/>
    </row>
    <row r="2007" spans="1:6" s="10" customFormat="1" x14ac:dyDescent="0.3">
      <c r="A2007" s="9"/>
    </row>
    <row r="2008" spans="1:6" s="10" customFormat="1" x14ac:dyDescent="0.3">
      <c r="A2008" s="9"/>
    </row>
    <row r="2009" spans="1:6" s="10" customFormat="1" x14ac:dyDescent="0.3">
      <c r="A2009" s="9"/>
    </row>
    <row r="2010" spans="1:6" s="10" customFormat="1" x14ac:dyDescent="0.3">
      <c r="A2010" s="9"/>
    </row>
    <row r="2011" spans="1:6" s="10" customFormat="1" x14ac:dyDescent="0.3">
      <c r="A2011" s="9"/>
    </row>
    <row r="2012" spans="1:6" s="10" customFormat="1" x14ac:dyDescent="0.3">
      <c r="A2012" s="9"/>
    </row>
    <row r="2013" spans="1:6" s="10" customFormat="1" x14ac:dyDescent="0.3">
      <c r="A2013" s="9"/>
    </row>
    <row r="2014" spans="1:6" s="10" customFormat="1" x14ac:dyDescent="0.3">
      <c r="A2014" s="9"/>
    </row>
    <row r="2015" spans="1:6" s="10" customFormat="1" x14ac:dyDescent="0.3">
      <c r="A2015" s="9"/>
    </row>
    <row r="2016" spans="1:6" s="10" customFormat="1" x14ac:dyDescent="0.3">
      <c r="A2016" s="9"/>
    </row>
    <row r="2017" spans="1:1" s="10" customFormat="1" x14ac:dyDescent="0.3">
      <c r="A2017" s="9"/>
    </row>
    <row r="2018" spans="1:1" s="10" customFormat="1" x14ac:dyDescent="0.3">
      <c r="A2018" s="9"/>
    </row>
    <row r="2019" spans="1:1" s="10" customFormat="1" x14ac:dyDescent="0.3">
      <c r="A2019" s="9"/>
    </row>
    <row r="2020" spans="1:1" s="10" customFormat="1" x14ac:dyDescent="0.3">
      <c r="A2020" s="9"/>
    </row>
    <row r="2021" spans="1:1" s="10" customFormat="1" x14ac:dyDescent="0.3">
      <c r="A2021" s="9"/>
    </row>
    <row r="2022" spans="1:1" s="10" customFormat="1" x14ac:dyDescent="0.3">
      <c r="A2022" s="9"/>
    </row>
    <row r="2023" spans="1:1" s="10" customFormat="1" x14ac:dyDescent="0.3">
      <c r="A2023" s="9"/>
    </row>
    <row r="2024" spans="1:1" s="10" customFormat="1" x14ac:dyDescent="0.3">
      <c r="A2024" s="9"/>
    </row>
    <row r="2025" spans="1:1" s="10" customFormat="1" x14ac:dyDescent="0.3">
      <c r="A2025" s="9"/>
    </row>
    <row r="2026" spans="1:1" s="10" customFormat="1" x14ac:dyDescent="0.3">
      <c r="A2026" s="9"/>
    </row>
    <row r="2027" spans="1:1" s="10" customFormat="1" x14ac:dyDescent="0.3">
      <c r="A2027" s="9"/>
    </row>
    <row r="2028" spans="1:1" s="10" customFormat="1" x14ac:dyDescent="0.3">
      <c r="A2028" s="9"/>
    </row>
    <row r="2029" spans="1:1" s="10" customFormat="1" x14ac:dyDescent="0.3">
      <c r="A2029" s="9"/>
    </row>
    <row r="2030" spans="1:1" s="10" customFormat="1" x14ac:dyDescent="0.3">
      <c r="A2030" s="9"/>
    </row>
    <row r="2031" spans="1:1" s="10" customFormat="1" x14ac:dyDescent="0.3">
      <c r="A2031" s="9"/>
    </row>
    <row r="2032" spans="1:1" s="10" customFormat="1" x14ac:dyDescent="0.3">
      <c r="A2032" s="9"/>
    </row>
    <row r="2033" spans="1:1" s="10" customFormat="1" x14ac:dyDescent="0.3">
      <c r="A2033" s="9"/>
    </row>
    <row r="2034" spans="1:1" s="10" customFormat="1" x14ac:dyDescent="0.3">
      <c r="A2034" s="9"/>
    </row>
    <row r="2035" spans="1:1" s="10" customFormat="1" x14ac:dyDescent="0.3">
      <c r="A2035" s="9"/>
    </row>
    <row r="2036" spans="1:1" s="10" customFormat="1" x14ac:dyDescent="0.3">
      <c r="A2036" s="9"/>
    </row>
    <row r="2037" spans="1:1" s="10" customFormat="1" x14ac:dyDescent="0.3">
      <c r="A2037" s="9"/>
    </row>
    <row r="2038" spans="1:1" s="10" customFormat="1" x14ac:dyDescent="0.3">
      <c r="A2038" s="9"/>
    </row>
    <row r="2039" spans="1:1" s="10" customFormat="1" x14ac:dyDescent="0.3">
      <c r="A2039" s="9"/>
    </row>
    <row r="2040" spans="1:1" s="10" customFormat="1" x14ac:dyDescent="0.3">
      <c r="A2040" s="9"/>
    </row>
    <row r="2041" spans="1:1" s="10" customFormat="1" x14ac:dyDescent="0.3">
      <c r="A2041" s="9"/>
    </row>
    <row r="2042" spans="1:1" s="10" customFormat="1" x14ac:dyDescent="0.3">
      <c r="A2042" s="9"/>
    </row>
    <row r="2043" spans="1:1" s="10" customFormat="1" x14ac:dyDescent="0.3">
      <c r="A2043" s="9"/>
    </row>
    <row r="2044" spans="1:1" s="10" customFormat="1" x14ac:dyDescent="0.3">
      <c r="A2044" s="9"/>
    </row>
    <row r="2045" spans="1:1" s="10" customFormat="1" x14ac:dyDescent="0.3">
      <c r="A2045" s="9"/>
    </row>
    <row r="2046" spans="1:1" s="10" customFormat="1" x14ac:dyDescent="0.3">
      <c r="A2046" s="9"/>
    </row>
    <row r="2047" spans="1:1" s="10" customFormat="1" x14ac:dyDescent="0.3">
      <c r="A2047" s="9"/>
    </row>
    <row r="2048" spans="1:1" s="10" customFormat="1" x14ac:dyDescent="0.3">
      <c r="A2048" s="9"/>
    </row>
    <row r="2049" spans="1:1" s="10" customFormat="1" x14ac:dyDescent="0.3">
      <c r="A2049" s="9"/>
    </row>
    <row r="2050" spans="1:1" s="10" customFormat="1" x14ac:dyDescent="0.3">
      <c r="A2050" s="9"/>
    </row>
    <row r="2051" spans="1:1" s="10" customFormat="1" x14ac:dyDescent="0.3">
      <c r="A2051" s="9"/>
    </row>
    <row r="2052" spans="1:1" s="10" customFormat="1" x14ac:dyDescent="0.3">
      <c r="A2052" s="9"/>
    </row>
    <row r="2053" spans="1:1" s="10" customFormat="1" x14ac:dyDescent="0.3">
      <c r="A2053" s="9"/>
    </row>
    <row r="2054" spans="1:1" s="10" customFormat="1" x14ac:dyDescent="0.3">
      <c r="A2054" s="9"/>
    </row>
    <row r="2055" spans="1:1" s="10" customFormat="1" x14ac:dyDescent="0.3">
      <c r="A2055" s="9"/>
    </row>
    <row r="2056" spans="1:1" s="10" customFormat="1" x14ac:dyDescent="0.3">
      <c r="A2056" s="9"/>
    </row>
    <row r="2057" spans="1:1" s="10" customFormat="1" x14ac:dyDescent="0.3">
      <c r="A2057" s="9"/>
    </row>
    <row r="2058" spans="1:1" s="10" customFormat="1" x14ac:dyDescent="0.3">
      <c r="A2058" s="9"/>
    </row>
    <row r="2059" spans="1:1" s="10" customFormat="1" x14ac:dyDescent="0.3">
      <c r="A2059" s="9"/>
    </row>
    <row r="2060" spans="1:1" s="10" customFormat="1" x14ac:dyDescent="0.3">
      <c r="A2060" s="9"/>
    </row>
    <row r="2061" spans="1:1" s="10" customFormat="1" x14ac:dyDescent="0.3">
      <c r="A2061" s="9"/>
    </row>
    <row r="2062" spans="1:1" s="10" customFormat="1" x14ac:dyDescent="0.3">
      <c r="A2062" s="9"/>
    </row>
    <row r="2063" spans="1:1" s="10" customFormat="1" x14ac:dyDescent="0.3">
      <c r="A2063" s="9"/>
    </row>
    <row r="2064" spans="1:1" s="10" customFormat="1" x14ac:dyDescent="0.3">
      <c r="A2064" s="9"/>
    </row>
    <row r="2065" spans="1:1" s="10" customFormat="1" x14ac:dyDescent="0.3">
      <c r="A2065" s="9"/>
    </row>
    <row r="2066" spans="1:1" s="10" customFormat="1" x14ac:dyDescent="0.3">
      <c r="A2066" s="9"/>
    </row>
    <row r="2067" spans="1:1" s="10" customFormat="1" x14ac:dyDescent="0.3">
      <c r="A2067" s="9"/>
    </row>
    <row r="2068" spans="1:1" s="10" customFormat="1" x14ac:dyDescent="0.3">
      <c r="A2068" s="9"/>
    </row>
    <row r="2069" spans="1:1" s="10" customFormat="1" x14ac:dyDescent="0.3">
      <c r="A2069" s="9"/>
    </row>
    <row r="2070" spans="1:1" s="10" customFormat="1" x14ac:dyDescent="0.3">
      <c r="A2070" s="9"/>
    </row>
    <row r="2071" spans="1:1" s="10" customFormat="1" x14ac:dyDescent="0.3">
      <c r="A2071" s="9"/>
    </row>
    <row r="2072" spans="1:1" s="10" customFormat="1" x14ac:dyDescent="0.3">
      <c r="A2072" s="9"/>
    </row>
    <row r="2073" spans="1:1" s="10" customFormat="1" x14ac:dyDescent="0.3">
      <c r="A2073" s="9"/>
    </row>
    <row r="2074" spans="1:1" s="10" customFormat="1" x14ac:dyDescent="0.3">
      <c r="A2074" s="9"/>
    </row>
    <row r="2075" spans="1:1" s="10" customFormat="1" x14ac:dyDescent="0.3">
      <c r="A2075" s="9"/>
    </row>
    <row r="2076" spans="1:1" s="10" customFormat="1" x14ac:dyDescent="0.3">
      <c r="A2076" s="9"/>
    </row>
    <row r="2077" spans="1:1" s="10" customFormat="1" x14ac:dyDescent="0.3">
      <c r="A2077" s="9"/>
    </row>
    <row r="2078" spans="1:1" s="10" customFormat="1" x14ac:dyDescent="0.3">
      <c r="A2078" s="9"/>
    </row>
    <row r="2079" spans="1:1" s="10" customFormat="1" x14ac:dyDescent="0.3">
      <c r="A2079" s="9"/>
    </row>
    <row r="2080" spans="1:1" s="10" customFormat="1" x14ac:dyDescent="0.3">
      <c r="A2080" s="9"/>
    </row>
    <row r="2081" spans="1:1" s="10" customFormat="1" x14ac:dyDescent="0.3">
      <c r="A2081" s="9"/>
    </row>
    <row r="2082" spans="1:1" s="10" customFormat="1" x14ac:dyDescent="0.3">
      <c r="A2082" s="9"/>
    </row>
    <row r="2083" spans="1:1" s="10" customFormat="1" x14ac:dyDescent="0.3">
      <c r="A2083" s="9"/>
    </row>
    <row r="2084" spans="1:1" s="10" customFormat="1" x14ac:dyDescent="0.3">
      <c r="A2084" s="9"/>
    </row>
    <row r="2085" spans="1:1" s="10" customFormat="1" x14ac:dyDescent="0.3">
      <c r="A2085" s="9"/>
    </row>
    <row r="2086" spans="1:1" s="10" customFormat="1" x14ac:dyDescent="0.3">
      <c r="A2086" s="9"/>
    </row>
    <row r="2087" spans="1:1" s="10" customFormat="1" x14ac:dyDescent="0.3">
      <c r="A2087" s="9"/>
    </row>
    <row r="2088" spans="1:1" s="10" customFormat="1" x14ac:dyDescent="0.3">
      <c r="A2088" s="9"/>
    </row>
    <row r="2089" spans="1:1" s="10" customFormat="1" x14ac:dyDescent="0.3">
      <c r="A2089" s="9"/>
    </row>
    <row r="2090" spans="1:1" s="10" customFormat="1" x14ac:dyDescent="0.3">
      <c r="A2090" s="9"/>
    </row>
    <row r="2091" spans="1:1" s="10" customFormat="1" x14ac:dyDescent="0.3">
      <c r="A2091" s="9"/>
    </row>
    <row r="2092" spans="1:1" s="10" customFormat="1" x14ac:dyDescent="0.3">
      <c r="A2092" s="9"/>
    </row>
    <row r="2093" spans="1:1" s="10" customFormat="1" x14ac:dyDescent="0.3">
      <c r="A2093" s="9"/>
    </row>
    <row r="2094" spans="1:1" s="10" customFormat="1" x14ac:dyDescent="0.3">
      <c r="A2094" s="9"/>
    </row>
    <row r="2095" spans="1:1" s="10" customFormat="1" x14ac:dyDescent="0.3">
      <c r="A2095" s="9"/>
    </row>
    <row r="2096" spans="1:1" s="10" customFormat="1" x14ac:dyDescent="0.3">
      <c r="A2096" s="9"/>
    </row>
    <row r="2097" spans="1:1" s="10" customFormat="1" x14ac:dyDescent="0.3">
      <c r="A2097" s="9"/>
    </row>
    <row r="2098" spans="1:1" s="10" customFormat="1" x14ac:dyDescent="0.3">
      <c r="A2098" s="9"/>
    </row>
    <row r="2099" spans="1:1" s="10" customFormat="1" x14ac:dyDescent="0.3">
      <c r="A2099" s="9"/>
    </row>
    <row r="2100" spans="1:1" s="10" customFormat="1" x14ac:dyDescent="0.3">
      <c r="A2100" s="9"/>
    </row>
    <row r="2101" spans="1:1" s="10" customFormat="1" x14ac:dyDescent="0.3">
      <c r="A2101" s="9"/>
    </row>
    <row r="2102" spans="1:1" s="10" customFormat="1" x14ac:dyDescent="0.3">
      <c r="A2102" s="9"/>
    </row>
    <row r="2103" spans="1:1" s="10" customFormat="1" x14ac:dyDescent="0.3">
      <c r="A2103" s="9"/>
    </row>
    <row r="2104" spans="1:1" s="10" customFormat="1" x14ac:dyDescent="0.3">
      <c r="A2104" s="9"/>
    </row>
    <row r="2105" spans="1:1" s="10" customFormat="1" x14ac:dyDescent="0.3">
      <c r="A2105" s="9"/>
    </row>
    <row r="2106" spans="1:1" s="10" customFormat="1" x14ac:dyDescent="0.3">
      <c r="A2106" s="9"/>
    </row>
    <row r="2107" spans="1:1" s="10" customFormat="1" x14ac:dyDescent="0.3">
      <c r="A2107" s="9"/>
    </row>
    <row r="2108" spans="1:1" s="10" customFormat="1" x14ac:dyDescent="0.3">
      <c r="A2108" s="9"/>
    </row>
    <row r="2109" spans="1:1" s="10" customFormat="1" x14ac:dyDescent="0.3">
      <c r="A2109" s="9"/>
    </row>
    <row r="2110" spans="1:1" s="10" customFormat="1" x14ac:dyDescent="0.3">
      <c r="A2110" s="9"/>
    </row>
    <row r="2111" spans="1:1" s="10" customFormat="1" x14ac:dyDescent="0.3">
      <c r="A2111" s="9"/>
    </row>
    <row r="2112" spans="1:1" s="10" customFormat="1" x14ac:dyDescent="0.3">
      <c r="A2112" s="9"/>
    </row>
    <row r="2113" spans="1:6" s="10" customFormat="1" x14ac:dyDescent="0.3">
      <c r="A2113" s="9"/>
    </row>
    <row r="2114" spans="1:6" s="10" customFormat="1" x14ac:dyDescent="0.3">
      <c r="A2114" s="9"/>
    </row>
    <row r="2115" spans="1:6" s="10" customFormat="1" x14ac:dyDescent="0.3">
      <c r="F2115" s="9"/>
    </row>
    <row r="2116" spans="1:6" s="10" customFormat="1" x14ac:dyDescent="0.3">
      <c r="F2116" s="9"/>
    </row>
    <row r="2117" spans="1:6" s="10" customFormat="1" x14ac:dyDescent="0.3">
      <c r="F2117" s="9"/>
    </row>
    <row r="2118" spans="1:6" s="10" customFormat="1" x14ac:dyDescent="0.3">
      <c r="F2118" s="9"/>
    </row>
    <row r="2119" spans="1:6" s="10" customFormat="1" x14ac:dyDescent="0.3">
      <c r="F2119" s="9"/>
    </row>
    <row r="2120" spans="1:6" s="10" customFormat="1" x14ac:dyDescent="0.3">
      <c r="A2120" s="9"/>
    </row>
    <row r="2121" spans="1:6" s="10" customFormat="1" x14ac:dyDescent="0.3">
      <c r="A2121" s="9"/>
    </row>
    <row r="2122" spans="1:6" s="10" customFormat="1" x14ac:dyDescent="0.3">
      <c r="A2122" s="9"/>
    </row>
    <row r="2123" spans="1:6" s="10" customFormat="1" x14ac:dyDescent="0.3">
      <c r="A2123" s="9"/>
    </row>
    <row r="2124" spans="1:6" s="10" customFormat="1" x14ac:dyDescent="0.3">
      <c r="A2124" s="9"/>
    </row>
    <row r="2125" spans="1:6" s="10" customFormat="1" x14ac:dyDescent="0.3">
      <c r="A2125" s="9"/>
    </row>
    <row r="2126" spans="1:6" s="10" customFormat="1" x14ac:dyDescent="0.3">
      <c r="A2126" s="9"/>
    </row>
    <row r="2127" spans="1:6" s="10" customFormat="1" x14ac:dyDescent="0.3">
      <c r="A2127" s="9"/>
    </row>
    <row r="2128" spans="1:6" s="10" customFormat="1" x14ac:dyDescent="0.3">
      <c r="A2128" s="9"/>
    </row>
    <row r="2129" spans="1:6" s="10" customFormat="1" x14ac:dyDescent="0.3">
      <c r="A2129" s="9"/>
    </row>
    <row r="2130" spans="1:6" s="10" customFormat="1" x14ac:dyDescent="0.3">
      <c r="A2130" s="9"/>
    </row>
    <row r="2131" spans="1:6" s="10" customFormat="1" x14ac:dyDescent="0.3">
      <c r="A2131" s="9"/>
    </row>
    <row r="2132" spans="1:6" s="10" customFormat="1" x14ac:dyDescent="0.3">
      <c r="A2132" s="9"/>
    </row>
    <row r="2133" spans="1:6" s="10" customFormat="1" x14ac:dyDescent="0.3">
      <c r="A2133" s="9"/>
    </row>
    <row r="2134" spans="1:6" s="10" customFormat="1" x14ac:dyDescent="0.3">
      <c r="A2134" s="9"/>
    </row>
    <row r="2135" spans="1:6" s="10" customFormat="1" x14ac:dyDescent="0.3">
      <c r="F2135" s="9"/>
    </row>
    <row r="2136" spans="1:6" s="10" customFormat="1" x14ac:dyDescent="0.3">
      <c r="F2136" s="9"/>
    </row>
    <row r="2137" spans="1:6" s="10" customFormat="1" x14ac:dyDescent="0.3">
      <c r="F2137" s="9"/>
    </row>
    <row r="2138" spans="1:6" s="10" customFormat="1" x14ac:dyDescent="0.3">
      <c r="F2138" s="9"/>
    </row>
    <row r="2139" spans="1:6" s="10" customFormat="1" x14ac:dyDescent="0.3">
      <c r="F2139" s="9"/>
    </row>
    <row r="2140" spans="1:6" s="10" customFormat="1" x14ac:dyDescent="0.3">
      <c r="F2140" s="9"/>
    </row>
    <row r="2141" spans="1:6" s="10" customFormat="1" x14ac:dyDescent="0.3">
      <c r="F2141" s="9"/>
    </row>
    <row r="2142" spans="1:6" s="10" customFormat="1" x14ac:dyDescent="0.3">
      <c r="F2142" s="9"/>
    </row>
    <row r="2143" spans="1:6" s="10" customFormat="1" x14ac:dyDescent="0.3">
      <c r="F2143" s="9"/>
    </row>
    <row r="2144" spans="1:6" s="10" customFormat="1" x14ac:dyDescent="0.3">
      <c r="F2144" s="9"/>
    </row>
    <row r="2145" spans="1:1" s="10" customFormat="1" x14ac:dyDescent="0.3">
      <c r="A2145" s="9"/>
    </row>
    <row r="2146" spans="1:1" s="10" customFormat="1" x14ac:dyDescent="0.3">
      <c r="A2146" s="9"/>
    </row>
    <row r="2147" spans="1:1" s="10" customFormat="1" x14ac:dyDescent="0.3">
      <c r="A2147" s="9"/>
    </row>
    <row r="2148" spans="1:1" s="10" customFormat="1" x14ac:dyDescent="0.3">
      <c r="A2148" s="9"/>
    </row>
    <row r="2149" spans="1:1" s="10" customFormat="1" x14ac:dyDescent="0.3">
      <c r="A2149" s="9"/>
    </row>
    <row r="2150" spans="1:1" s="10" customFormat="1" x14ac:dyDescent="0.3">
      <c r="A2150" s="9"/>
    </row>
    <row r="2151" spans="1:1" s="10" customFormat="1" x14ac:dyDescent="0.3">
      <c r="A2151" s="9"/>
    </row>
    <row r="2152" spans="1:1" s="10" customFormat="1" x14ac:dyDescent="0.3">
      <c r="A2152" s="9"/>
    </row>
    <row r="2153" spans="1:1" s="10" customFormat="1" x14ac:dyDescent="0.3">
      <c r="A2153" s="9"/>
    </row>
    <row r="2154" spans="1:1" s="10" customFormat="1" x14ac:dyDescent="0.3">
      <c r="A2154" s="9"/>
    </row>
    <row r="2155" spans="1:1" s="10" customFormat="1" x14ac:dyDescent="0.3">
      <c r="A2155" s="9"/>
    </row>
    <row r="2156" spans="1:1" s="10" customFormat="1" x14ac:dyDescent="0.3">
      <c r="A2156" s="9"/>
    </row>
    <row r="2157" spans="1:1" s="10" customFormat="1" x14ac:dyDescent="0.3">
      <c r="A2157" s="9"/>
    </row>
    <row r="2158" spans="1:1" s="10" customFormat="1" x14ac:dyDescent="0.3">
      <c r="A2158" s="9"/>
    </row>
    <row r="2159" spans="1:1" s="10" customFormat="1" x14ac:dyDescent="0.3">
      <c r="A2159" s="9"/>
    </row>
    <row r="2160" spans="1:1" s="10" customFormat="1" x14ac:dyDescent="0.3">
      <c r="A2160" s="9"/>
    </row>
    <row r="2161" spans="1:1" s="10" customFormat="1" x14ac:dyDescent="0.3">
      <c r="A2161" s="9"/>
    </row>
    <row r="2162" spans="1:1" s="10" customFormat="1" x14ac:dyDescent="0.3">
      <c r="A2162" s="9"/>
    </row>
    <row r="2163" spans="1:1" s="10" customFormat="1" x14ac:dyDescent="0.3">
      <c r="A2163" s="9"/>
    </row>
    <row r="2164" spans="1:1" s="10" customFormat="1" x14ac:dyDescent="0.3">
      <c r="A2164" s="9"/>
    </row>
    <row r="2165" spans="1:1" s="10" customFormat="1" x14ac:dyDescent="0.3">
      <c r="A2165" s="9"/>
    </row>
    <row r="2166" spans="1:1" s="10" customFormat="1" x14ac:dyDescent="0.3">
      <c r="A2166" s="9"/>
    </row>
    <row r="2167" spans="1:1" s="10" customFormat="1" x14ac:dyDescent="0.3">
      <c r="A2167" s="9"/>
    </row>
    <row r="2168" spans="1:1" s="10" customFormat="1" x14ac:dyDescent="0.3">
      <c r="A2168" s="9"/>
    </row>
    <row r="2169" spans="1:1" s="10" customFormat="1" x14ac:dyDescent="0.3">
      <c r="A2169" s="9"/>
    </row>
    <row r="2170" spans="1:1" s="10" customFormat="1" x14ac:dyDescent="0.3">
      <c r="A2170" s="9"/>
    </row>
    <row r="2171" spans="1:1" s="10" customFormat="1" x14ac:dyDescent="0.3">
      <c r="A2171" s="9"/>
    </row>
    <row r="2172" spans="1:1" s="10" customFormat="1" x14ac:dyDescent="0.3">
      <c r="A2172" s="9"/>
    </row>
    <row r="2173" spans="1:1" s="10" customFormat="1" x14ac:dyDescent="0.3">
      <c r="A2173" s="9"/>
    </row>
    <row r="2174" spans="1:1" s="10" customFormat="1" x14ac:dyDescent="0.3">
      <c r="A2174" s="9"/>
    </row>
    <row r="2175" spans="1:1" s="10" customFormat="1" x14ac:dyDescent="0.3">
      <c r="A2175" s="9"/>
    </row>
    <row r="2176" spans="1:1" s="10" customFormat="1" x14ac:dyDescent="0.3">
      <c r="A2176" s="9"/>
    </row>
    <row r="2177" spans="1:6" s="10" customFormat="1" x14ac:dyDescent="0.3">
      <c r="A2177" s="9"/>
    </row>
    <row r="2178" spans="1:6" s="10" customFormat="1" x14ac:dyDescent="0.3">
      <c r="A2178" s="9"/>
    </row>
    <row r="2179" spans="1:6" s="10" customFormat="1" x14ac:dyDescent="0.3">
      <c r="A2179" s="9"/>
    </row>
    <row r="2180" spans="1:6" s="10" customFormat="1" x14ac:dyDescent="0.3">
      <c r="A2180" s="9"/>
    </row>
    <row r="2181" spans="1:6" s="10" customFormat="1" x14ac:dyDescent="0.3">
      <c r="A2181" s="9"/>
    </row>
    <row r="2182" spans="1:6" s="10" customFormat="1" x14ac:dyDescent="0.3">
      <c r="A2182" s="9"/>
    </row>
    <row r="2183" spans="1:6" s="10" customFormat="1" x14ac:dyDescent="0.3">
      <c r="A2183" s="9"/>
    </row>
    <row r="2184" spans="1:6" s="10" customFormat="1" x14ac:dyDescent="0.3">
      <c r="A2184" s="9"/>
    </row>
    <row r="2185" spans="1:6" s="10" customFormat="1" x14ac:dyDescent="0.3">
      <c r="A2185" s="9"/>
    </row>
    <row r="2186" spans="1:6" s="10" customFormat="1" x14ac:dyDescent="0.3">
      <c r="A2186" s="9"/>
    </row>
    <row r="2187" spans="1:6" s="10" customFormat="1" x14ac:dyDescent="0.3">
      <c r="A2187" s="9"/>
    </row>
    <row r="2188" spans="1:6" s="10" customFormat="1" x14ac:dyDescent="0.3">
      <c r="F2188" s="9"/>
    </row>
    <row r="2189" spans="1:6" s="10" customFormat="1" x14ac:dyDescent="0.3">
      <c r="F2189" s="9"/>
    </row>
    <row r="2190" spans="1:6" s="10" customFormat="1" x14ac:dyDescent="0.3">
      <c r="A2190" s="9"/>
    </row>
    <row r="2191" spans="1:6" s="10" customFormat="1" x14ac:dyDescent="0.3">
      <c r="A2191" s="9"/>
    </row>
    <row r="2192" spans="1:6" s="10" customFormat="1" x14ac:dyDescent="0.3">
      <c r="A2192" s="9"/>
    </row>
    <row r="2193" spans="1:1" s="10" customFormat="1" x14ac:dyDescent="0.3">
      <c r="A2193" s="9"/>
    </row>
    <row r="2194" spans="1:1" s="10" customFormat="1" x14ac:dyDescent="0.3">
      <c r="A2194" s="9"/>
    </row>
    <row r="2195" spans="1:1" s="10" customFormat="1" x14ac:dyDescent="0.3">
      <c r="A2195" s="9"/>
    </row>
    <row r="2196" spans="1:1" s="10" customFormat="1" x14ac:dyDescent="0.3">
      <c r="A2196" s="9"/>
    </row>
    <row r="2197" spans="1:1" s="10" customFormat="1" x14ac:dyDescent="0.3">
      <c r="A2197" s="9"/>
    </row>
    <row r="2198" spans="1:1" s="10" customFormat="1" x14ac:dyDescent="0.3">
      <c r="A2198" s="9"/>
    </row>
    <row r="2199" spans="1:1" s="10" customFormat="1" x14ac:dyDescent="0.3">
      <c r="A2199" s="9"/>
    </row>
    <row r="2200" spans="1:1" s="10" customFormat="1" x14ac:dyDescent="0.3">
      <c r="A2200" s="9"/>
    </row>
    <row r="2201" spans="1:1" s="10" customFormat="1" x14ac:dyDescent="0.3">
      <c r="A2201" s="9"/>
    </row>
    <row r="2202" spans="1:1" s="10" customFormat="1" x14ac:dyDescent="0.3">
      <c r="A2202" s="9"/>
    </row>
    <row r="2203" spans="1:1" s="10" customFormat="1" x14ac:dyDescent="0.3">
      <c r="A2203" s="9"/>
    </row>
    <row r="2204" spans="1:1" s="10" customFormat="1" x14ac:dyDescent="0.3">
      <c r="A2204" s="9"/>
    </row>
    <row r="2205" spans="1:1" s="10" customFormat="1" x14ac:dyDescent="0.3">
      <c r="A2205" s="9"/>
    </row>
    <row r="2206" spans="1:1" s="10" customFormat="1" x14ac:dyDescent="0.3">
      <c r="A2206" s="9"/>
    </row>
    <row r="2207" spans="1:1" s="10" customFormat="1" x14ac:dyDescent="0.3">
      <c r="A2207" s="9"/>
    </row>
    <row r="2208" spans="1:1" s="10" customFormat="1" x14ac:dyDescent="0.3">
      <c r="A2208" s="9"/>
    </row>
    <row r="2209" spans="1:1" s="10" customFormat="1" x14ac:dyDescent="0.3">
      <c r="A2209" s="9"/>
    </row>
    <row r="2210" spans="1:1" s="10" customFormat="1" x14ac:dyDescent="0.3">
      <c r="A2210" s="9"/>
    </row>
    <row r="2211" spans="1:1" s="10" customFormat="1" x14ac:dyDescent="0.3">
      <c r="A2211" s="9"/>
    </row>
    <row r="2212" spans="1:1" s="10" customFormat="1" x14ac:dyDescent="0.3">
      <c r="A2212" s="9"/>
    </row>
    <row r="2213" spans="1:1" s="10" customFormat="1" x14ac:dyDescent="0.3">
      <c r="A2213" s="9"/>
    </row>
    <row r="2214" spans="1:1" s="10" customFormat="1" x14ac:dyDescent="0.3">
      <c r="A2214" s="9"/>
    </row>
    <row r="2215" spans="1:1" s="10" customFormat="1" x14ac:dyDescent="0.3">
      <c r="A2215" s="9"/>
    </row>
    <row r="2216" spans="1:1" s="10" customFormat="1" x14ac:dyDescent="0.3">
      <c r="A2216" s="9"/>
    </row>
    <row r="2217" spans="1:1" s="10" customFormat="1" x14ac:dyDescent="0.3">
      <c r="A2217" s="9"/>
    </row>
    <row r="2218" spans="1:1" s="10" customFormat="1" x14ac:dyDescent="0.3">
      <c r="A2218" s="9"/>
    </row>
    <row r="2219" spans="1:1" s="10" customFormat="1" x14ac:dyDescent="0.3">
      <c r="A2219" s="9"/>
    </row>
    <row r="2220" spans="1:1" s="10" customFormat="1" x14ac:dyDescent="0.3">
      <c r="A2220" s="9"/>
    </row>
    <row r="2221" spans="1:1" s="10" customFormat="1" x14ac:dyDescent="0.3">
      <c r="A2221" s="9"/>
    </row>
    <row r="2222" spans="1:1" s="10" customFormat="1" x14ac:dyDescent="0.3">
      <c r="A2222" s="9"/>
    </row>
    <row r="2223" spans="1:1" s="10" customFormat="1" x14ac:dyDescent="0.3">
      <c r="A2223" s="9"/>
    </row>
    <row r="2224" spans="1:1" s="10" customFormat="1" x14ac:dyDescent="0.3">
      <c r="A2224" s="9"/>
    </row>
    <row r="2225" spans="1:6" s="10" customFormat="1" x14ac:dyDescent="0.3">
      <c r="A2225" s="9"/>
    </row>
    <row r="2226" spans="1:6" s="10" customFormat="1" x14ac:dyDescent="0.3">
      <c r="A2226" s="9"/>
    </row>
    <row r="2227" spans="1:6" s="10" customFormat="1" x14ac:dyDescent="0.3">
      <c r="A2227" s="9"/>
    </row>
    <row r="2228" spans="1:6" s="10" customFormat="1" x14ac:dyDescent="0.3">
      <c r="A2228" s="9"/>
    </row>
    <row r="2229" spans="1:6" s="10" customFormat="1" x14ac:dyDescent="0.3">
      <c r="F2229" s="9"/>
    </row>
    <row r="2230" spans="1:6" s="10" customFormat="1" x14ac:dyDescent="0.3">
      <c r="F2230" s="9"/>
    </row>
    <row r="2231" spans="1:6" s="10" customFormat="1" x14ac:dyDescent="0.3">
      <c r="A2231" s="9"/>
    </row>
    <row r="2232" spans="1:6" s="10" customFormat="1" x14ac:dyDescent="0.3">
      <c r="F2232" s="9"/>
    </row>
    <row r="2233" spans="1:6" s="10" customFormat="1" x14ac:dyDescent="0.3">
      <c r="F2233" s="9"/>
    </row>
    <row r="2234" spans="1:6" s="10" customFormat="1" x14ac:dyDescent="0.3">
      <c r="A2234" s="9"/>
    </row>
    <row r="2235" spans="1:6" s="10" customFormat="1" x14ac:dyDescent="0.3">
      <c r="A2235" s="9"/>
    </row>
    <row r="2236" spans="1:6" s="10" customFormat="1" x14ac:dyDescent="0.3">
      <c r="A2236" s="9"/>
    </row>
    <row r="2237" spans="1:6" s="10" customFormat="1" x14ac:dyDescent="0.3">
      <c r="F2237" s="9"/>
    </row>
    <row r="2238" spans="1:6" s="10" customFormat="1" x14ac:dyDescent="0.3">
      <c r="F2238" s="9"/>
    </row>
    <row r="2239" spans="1:6" s="10" customFormat="1" x14ac:dyDescent="0.3">
      <c r="A2239" s="9"/>
    </row>
    <row r="2240" spans="1:6" s="10" customFormat="1" x14ac:dyDescent="0.3">
      <c r="A2240" s="9"/>
    </row>
    <row r="2241" spans="1:6" s="10" customFormat="1" x14ac:dyDescent="0.3">
      <c r="A2241" s="9"/>
    </row>
    <row r="2242" spans="1:6" s="10" customFormat="1" x14ac:dyDescent="0.3">
      <c r="A2242" s="9"/>
    </row>
    <row r="2243" spans="1:6" s="10" customFormat="1" x14ac:dyDescent="0.3">
      <c r="A2243" s="9"/>
    </row>
    <row r="2244" spans="1:6" s="10" customFormat="1" x14ac:dyDescent="0.3">
      <c r="A2244" s="9"/>
    </row>
    <row r="2245" spans="1:6" s="10" customFormat="1" x14ac:dyDescent="0.3">
      <c r="A2245" s="9"/>
    </row>
    <row r="2246" spans="1:6" s="10" customFormat="1" x14ac:dyDescent="0.3">
      <c r="A2246" s="9"/>
    </row>
    <row r="2247" spans="1:6" s="10" customFormat="1" x14ac:dyDescent="0.3">
      <c r="A2247" s="9"/>
    </row>
    <row r="2248" spans="1:6" s="10" customFormat="1" x14ac:dyDescent="0.3">
      <c r="A2248" s="9"/>
    </row>
    <row r="2249" spans="1:6" s="10" customFormat="1" x14ac:dyDescent="0.3">
      <c r="A2249" s="9"/>
    </row>
    <row r="2250" spans="1:6" s="10" customFormat="1" x14ac:dyDescent="0.3">
      <c r="A2250" s="9"/>
    </row>
    <row r="2251" spans="1:6" s="10" customFormat="1" x14ac:dyDescent="0.3">
      <c r="A2251" s="9"/>
    </row>
    <row r="2252" spans="1:6" s="10" customFormat="1" x14ac:dyDescent="0.3">
      <c r="A2252" s="9"/>
    </row>
    <row r="2253" spans="1:6" s="10" customFormat="1" x14ac:dyDescent="0.3">
      <c r="A2253" s="9"/>
    </row>
    <row r="2254" spans="1:6" s="10" customFormat="1" x14ac:dyDescent="0.3">
      <c r="A2254" s="9"/>
    </row>
    <row r="2255" spans="1:6" s="10" customFormat="1" x14ac:dyDescent="0.3">
      <c r="F2255" s="9"/>
    </row>
    <row r="2256" spans="1:6" s="10" customFormat="1" x14ac:dyDescent="0.3">
      <c r="F2256" s="9"/>
    </row>
    <row r="2257" spans="1:1" s="10" customFormat="1" x14ac:dyDescent="0.3">
      <c r="A2257" s="9"/>
    </row>
    <row r="2258" spans="1:1" s="10" customFormat="1" x14ac:dyDescent="0.3">
      <c r="A2258" s="9"/>
    </row>
    <row r="2259" spans="1:1" s="10" customFormat="1" x14ac:dyDescent="0.3">
      <c r="A2259" s="9"/>
    </row>
    <row r="2260" spans="1:1" s="10" customFormat="1" x14ac:dyDescent="0.3">
      <c r="A2260" s="9"/>
    </row>
    <row r="2261" spans="1:1" s="10" customFormat="1" x14ac:dyDescent="0.3">
      <c r="A2261" s="9"/>
    </row>
    <row r="2262" spans="1:1" s="10" customFormat="1" x14ac:dyDescent="0.3">
      <c r="A2262" s="9"/>
    </row>
    <row r="2263" spans="1:1" s="10" customFormat="1" x14ac:dyDescent="0.3">
      <c r="A2263" s="9"/>
    </row>
    <row r="2264" spans="1:1" s="10" customFormat="1" x14ac:dyDescent="0.3">
      <c r="A2264" s="9"/>
    </row>
    <row r="2265" spans="1:1" s="10" customFormat="1" x14ac:dyDescent="0.3">
      <c r="A2265" s="9"/>
    </row>
    <row r="2266" spans="1:1" s="10" customFormat="1" x14ac:dyDescent="0.3">
      <c r="A2266" s="9"/>
    </row>
    <row r="2267" spans="1:1" s="10" customFormat="1" x14ac:dyDescent="0.3">
      <c r="A2267" s="9"/>
    </row>
    <row r="2268" spans="1:1" s="10" customFormat="1" x14ac:dyDescent="0.3">
      <c r="A2268" s="9"/>
    </row>
    <row r="2269" spans="1:1" s="10" customFormat="1" x14ac:dyDescent="0.3">
      <c r="A2269" s="9"/>
    </row>
    <row r="2270" spans="1:1" s="10" customFormat="1" x14ac:dyDescent="0.3">
      <c r="A2270" s="9"/>
    </row>
    <row r="2271" spans="1:1" s="10" customFormat="1" x14ac:dyDescent="0.3">
      <c r="A2271" s="9"/>
    </row>
    <row r="2272" spans="1:1" s="10" customFormat="1" x14ac:dyDescent="0.3">
      <c r="A2272" s="9"/>
    </row>
    <row r="2273" spans="1:1" s="10" customFormat="1" x14ac:dyDescent="0.3">
      <c r="A2273" s="9"/>
    </row>
    <row r="2274" spans="1:1" s="10" customFormat="1" x14ac:dyDescent="0.3">
      <c r="A2274" s="9"/>
    </row>
    <row r="2275" spans="1:1" s="10" customFormat="1" x14ac:dyDescent="0.3">
      <c r="A2275" s="9"/>
    </row>
    <row r="2276" spans="1:1" s="10" customFormat="1" x14ac:dyDescent="0.3">
      <c r="A2276" s="9"/>
    </row>
    <row r="2277" spans="1:1" s="10" customFormat="1" x14ac:dyDescent="0.3">
      <c r="A2277" s="9"/>
    </row>
    <row r="2278" spans="1:1" s="10" customFormat="1" x14ac:dyDescent="0.3">
      <c r="A2278" s="9"/>
    </row>
    <row r="2279" spans="1:1" s="10" customFormat="1" x14ac:dyDescent="0.3">
      <c r="A2279" s="9"/>
    </row>
    <row r="2280" spans="1:1" s="10" customFormat="1" x14ac:dyDescent="0.3">
      <c r="A2280" s="9"/>
    </row>
    <row r="2281" spans="1:1" s="10" customFormat="1" x14ac:dyDescent="0.3">
      <c r="A2281" s="9"/>
    </row>
    <row r="2282" spans="1:1" s="10" customFormat="1" x14ac:dyDescent="0.3">
      <c r="A2282" s="9"/>
    </row>
    <row r="2283" spans="1:1" s="10" customFormat="1" x14ac:dyDescent="0.3">
      <c r="A2283" s="9"/>
    </row>
    <row r="2284" spans="1:1" s="10" customFormat="1" x14ac:dyDescent="0.3">
      <c r="A2284" s="9"/>
    </row>
    <row r="2285" spans="1:1" s="10" customFormat="1" x14ac:dyDescent="0.3">
      <c r="A2285" s="9"/>
    </row>
    <row r="2286" spans="1:1" s="10" customFormat="1" x14ac:dyDescent="0.3">
      <c r="A2286" s="9"/>
    </row>
    <row r="2287" spans="1:1" s="10" customFormat="1" x14ac:dyDescent="0.3">
      <c r="A2287" s="9"/>
    </row>
    <row r="2288" spans="1:1" s="10" customFormat="1" x14ac:dyDescent="0.3">
      <c r="A2288" s="9"/>
    </row>
    <row r="2289" spans="1:1" s="10" customFormat="1" x14ac:dyDescent="0.3">
      <c r="A2289" s="9"/>
    </row>
    <row r="2290" spans="1:1" s="10" customFormat="1" x14ac:dyDescent="0.3">
      <c r="A2290" s="9"/>
    </row>
    <row r="2291" spans="1:1" s="10" customFormat="1" x14ac:dyDescent="0.3">
      <c r="A2291" s="9"/>
    </row>
    <row r="2292" spans="1:1" s="10" customFormat="1" x14ac:dyDescent="0.3">
      <c r="A2292" s="9"/>
    </row>
    <row r="2293" spans="1:1" s="10" customFormat="1" x14ac:dyDescent="0.3">
      <c r="A2293" s="9"/>
    </row>
    <row r="2294" spans="1:1" s="10" customFormat="1" x14ac:dyDescent="0.3">
      <c r="A2294" s="9"/>
    </row>
    <row r="2295" spans="1:1" s="10" customFormat="1" x14ac:dyDescent="0.3">
      <c r="A2295" s="9"/>
    </row>
    <row r="2296" spans="1:1" s="10" customFormat="1" x14ac:dyDescent="0.3">
      <c r="A2296" s="9"/>
    </row>
    <row r="2297" spans="1:1" s="10" customFormat="1" x14ac:dyDescent="0.3">
      <c r="A2297" s="9"/>
    </row>
    <row r="2298" spans="1:1" s="10" customFormat="1" x14ac:dyDescent="0.3">
      <c r="A2298" s="9"/>
    </row>
    <row r="2299" spans="1:1" s="10" customFormat="1" x14ac:dyDescent="0.3">
      <c r="A2299" s="9"/>
    </row>
    <row r="2300" spans="1:1" s="10" customFormat="1" x14ac:dyDescent="0.3">
      <c r="A2300" s="9"/>
    </row>
    <row r="2301" spans="1:1" s="10" customFormat="1" x14ac:dyDescent="0.3">
      <c r="A2301" s="9"/>
    </row>
    <row r="2302" spans="1:1" s="10" customFormat="1" x14ac:dyDescent="0.3">
      <c r="A2302" s="9"/>
    </row>
    <row r="2303" spans="1:1" s="10" customFormat="1" x14ac:dyDescent="0.3">
      <c r="A2303" s="9"/>
    </row>
    <row r="2304" spans="1:1" s="10" customFormat="1" x14ac:dyDescent="0.3">
      <c r="A2304" s="9"/>
    </row>
    <row r="2305" spans="1:6" s="10" customFormat="1" x14ac:dyDescent="0.3">
      <c r="A2305" s="9"/>
    </row>
    <row r="2306" spans="1:6" s="10" customFormat="1" x14ac:dyDescent="0.3">
      <c r="A2306" s="9"/>
    </row>
    <row r="2307" spans="1:6" s="10" customFormat="1" x14ac:dyDescent="0.3">
      <c r="A2307" s="9"/>
    </row>
    <row r="2308" spans="1:6" s="10" customFormat="1" x14ac:dyDescent="0.3">
      <c r="F2308" s="9"/>
    </row>
    <row r="2309" spans="1:6" s="10" customFormat="1" x14ac:dyDescent="0.3">
      <c r="F2309" s="9"/>
    </row>
    <row r="2310" spans="1:6" s="10" customFormat="1" x14ac:dyDescent="0.3">
      <c r="A2310" s="9"/>
    </row>
    <row r="2311" spans="1:6" s="10" customFormat="1" x14ac:dyDescent="0.3">
      <c r="A2311" s="9"/>
    </row>
    <row r="2312" spans="1:6" s="10" customFormat="1" x14ac:dyDescent="0.3">
      <c r="A2312" s="9"/>
    </row>
    <row r="2313" spans="1:6" s="10" customFormat="1" x14ac:dyDescent="0.3">
      <c r="A2313" s="9"/>
    </row>
    <row r="2314" spans="1:6" s="10" customFormat="1" x14ac:dyDescent="0.3">
      <c r="A2314" s="9"/>
    </row>
    <row r="2315" spans="1:6" s="10" customFormat="1" x14ac:dyDescent="0.3">
      <c r="A2315" s="9"/>
    </row>
    <row r="2316" spans="1:6" s="10" customFormat="1" x14ac:dyDescent="0.3">
      <c r="A2316" s="9"/>
    </row>
    <row r="2317" spans="1:6" s="10" customFormat="1" x14ac:dyDescent="0.3">
      <c r="A2317" s="9"/>
    </row>
    <row r="2318" spans="1:6" s="10" customFormat="1" x14ac:dyDescent="0.3">
      <c r="A2318" s="9"/>
    </row>
    <row r="2319" spans="1:6" s="10" customFormat="1" x14ac:dyDescent="0.3">
      <c r="A2319" s="9"/>
    </row>
    <row r="2320" spans="1:6" s="10" customFormat="1" x14ac:dyDescent="0.3">
      <c r="A2320" s="9"/>
    </row>
    <row r="2321" spans="1:6" s="10" customFormat="1" x14ac:dyDescent="0.3">
      <c r="A2321" s="9"/>
    </row>
    <row r="2322" spans="1:6" s="10" customFormat="1" x14ac:dyDescent="0.3">
      <c r="A2322" s="9"/>
    </row>
    <row r="2323" spans="1:6" s="10" customFormat="1" x14ac:dyDescent="0.3">
      <c r="A2323" s="9"/>
    </row>
    <row r="2324" spans="1:6" s="10" customFormat="1" x14ac:dyDescent="0.3">
      <c r="F2324" s="9"/>
    </row>
    <row r="2325" spans="1:6" s="10" customFormat="1" x14ac:dyDescent="0.3">
      <c r="F2325" s="9"/>
    </row>
    <row r="2326" spans="1:6" s="10" customFormat="1" x14ac:dyDescent="0.3">
      <c r="A2326" s="9"/>
    </row>
    <row r="2327" spans="1:6" s="10" customFormat="1" x14ac:dyDescent="0.3">
      <c r="A2327" s="9"/>
    </row>
    <row r="2328" spans="1:6" s="10" customFormat="1" x14ac:dyDescent="0.3">
      <c r="A2328" s="9"/>
    </row>
    <row r="2329" spans="1:6" s="10" customFormat="1" x14ac:dyDescent="0.3">
      <c r="A2329" s="9"/>
    </row>
    <row r="2330" spans="1:6" s="10" customFormat="1" x14ac:dyDescent="0.3">
      <c r="A2330" s="9"/>
    </row>
    <row r="2331" spans="1:6" s="10" customFormat="1" x14ac:dyDescent="0.3">
      <c r="A2331" s="9"/>
    </row>
    <row r="2332" spans="1:6" s="10" customFormat="1" x14ac:dyDescent="0.3">
      <c r="A2332" s="9"/>
    </row>
    <row r="2333" spans="1:6" s="10" customFormat="1" x14ac:dyDescent="0.3">
      <c r="A2333" s="9"/>
    </row>
    <row r="2334" spans="1:6" s="10" customFormat="1" x14ac:dyDescent="0.3">
      <c r="A2334" s="9"/>
    </row>
    <row r="2335" spans="1:6" s="10" customFormat="1" x14ac:dyDescent="0.3">
      <c r="A2335" s="9"/>
    </row>
    <row r="2336" spans="1:6" s="10" customFormat="1" x14ac:dyDescent="0.3">
      <c r="A2336" s="9"/>
    </row>
    <row r="2337" spans="1:6" s="10" customFormat="1" x14ac:dyDescent="0.3">
      <c r="A2337" s="9"/>
    </row>
    <row r="2338" spans="1:6" s="10" customFormat="1" x14ac:dyDescent="0.3">
      <c r="A2338" s="9"/>
    </row>
    <row r="2339" spans="1:6" s="10" customFormat="1" x14ac:dyDescent="0.3">
      <c r="A2339" s="9"/>
    </row>
    <row r="2340" spans="1:6" s="10" customFormat="1" x14ac:dyDescent="0.3">
      <c r="A2340" s="9"/>
    </row>
    <row r="2341" spans="1:6" s="10" customFormat="1" x14ac:dyDescent="0.3">
      <c r="A2341" s="9"/>
    </row>
    <row r="2342" spans="1:6" s="10" customFormat="1" x14ac:dyDescent="0.3">
      <c r="A2342" s="9"/>
    </row>
    <row r="2343" spans="1:6" s="10" customFormat="1" x14ac:dyDescent="0.3">
      <c r="A2343" s="9"/>
    </row>
    <row r="2344" spans="1:6" s="10" customFormat="1" x14ac:dyDescent="0.3">
      <c r="A2344" s="9"/>
    </row>
    <row r="2345" spans="1:6" s="10" customFormat="1" x14ac:dyDescent="0.3">
      <c r="A2345" s="9"/>
    </row>
    <row r="2346" spans="1:6" s="10" customFormat="1" x14ac:dyDescent="0.3">
      <c r="F2346" s="9"/>
    </row>
    <row r="2347" spans="1:6" s="10" customFormat="1" x14ac:dyDescent="0.3">
      <c r="F2347" s="9"/>
    </row>
    <row r="2348" spans="1:6" s="10" customFormat="1" x14ac:dyDescent="0.3">
      <c r="F2348" s="9"/>
    </row>
    <row r="2349" spans="1:6" s="10" customFormat="1" x14ac:dyDescent="0.3">
      <c r="F2349" s="9"/>
    </row>
    <row r="2350" spans="1:6" s="10" customFormat="1" x14ac:dyDescent="0.3">
      <c r="F2350" s="9"/>
    </row>
    <row r="2351" spans="1:6" s="10" customFormat="1" x14ac:dyDescent="0.3">
      <c r="F2351" s="9"/>
    </row>
    <row r="2352" spans="1:6" s="10" customFormat="1" x14ac:dyDescent="0.3">
      <c r="A2352" s="9"/>
    </row>
    <row r="2353" spans="1:6" s="10" customFormat="1" x14ac:dyDescent="0.3">
      <c r="A2353" s="9"/>
    </row>
    <row r="2354" spans="1:6" s="10" customFormat="1" x14ac:dyDescent="0.3">
      <c r="A2354" s="9"/>
    </row>
    <row r="2355" spans="1:6" s="10" customFormat="1" x14ac:dyDescent="0.3">
      <c r="A2355" s="9"/>
    </row>
    <row r="2356" spans="1:6" s="10" customFormat="1" x14ac:dyDescent="0.3">
      <c r="F2356" s="9"/>
    </row>
    <row r="2357" spans="1:6" s="10" customFormat="1" x14ac:dyDescent="0.3">
      <c r="F2357" s="9"/>
    </row>
    <row r="2358" spans="1:6" s="10" customFormat="1" x14ac:dyDescent="0.3">
      <c r="A2358" s="9"/>
    </row>
    <row r="2359" spans="1:6" s="10" customFormat="1" x14ac:dyDescent="0.3">
      <c r="A2359" s="9"/>
    </row>
    <row r="2360" spans="1:6" s="10" customFormat="1" x14ac:dyDescent="0.3">
      <c r="A2360" s="9"/>
    </row>
    <row r="2361" spans="1:6" s="10" customFormat="1" x14ac:dyDescent="0.3">
      <c r="A2361" s="9"/>
    </row>
    <row r="2362" spans="1:6" s="10" customFormat="1" x14ac:dyDescent="0.3">
      <c r="A2362" s="9"/>
    </row>
    <row r="2363" spans="1:6" s="10" customFormat="1" x14ac:dyDescent="0.3">
      <c r="A2363" s="9"/>
    </row>
    <row r="2364" spans="1:6" s="10" customFormat="1" x14ac:dyDescent="0.3">
      <c r="A2364" s="9"/>
    </row>
    <row r="2365" spans="1:6" s="10" customFormat="1" x14ac:dyDescent="0.3">
      <c r="F2365" s="9"/>
    </row>
    <row r="2366" spans="1:6" s="10" customFormat="1" x14ac:dyDescent="0.3">
      <c r="F2366" s="9"/>
    </row>
    <row r="2367" spans="1:6" s="10" customFormat="1" x14ac:dyDescent="0.3">
      <c r="F2367" s="9"/>
    </row>
    <row r="2368" spans="1:6" s="10" customFormat="1" x14ac:dyDescent="0.3">
      <c r="F2368" s="9"/>
    </row>
    <row r="2369" spans="1:6" s="10" customFormat="1" x14ac:dyDescent="0.3">
      <c r="F2369" s="9"/>
    </row>
    <row r="2370" spans="1:6" s="10" customFormat="1" x14ac:dyDescent="0.3">
      <c r="F2370" s="9"/>
    </row>
    <row r="2371" spans="1:6" s="10" customFormat="1" x14ac:dyDescent="0.3">
      <c r="F2371" s="9"/>
    </row>
    <row r="2372" spans="1:6" s="10" customFormat="1" x14ac:dyDescent="0.3">
      <c r="F2372" s="9"/>
    </row>
    <row r="2373" spans="1:6" s="10" customFormat="1" x14ac:dyDescent="0.3">
      <c r="A2373" s="9"/>
    </row>
    <row r="2374" spans="1:6" s="10" customFormat="1" x14ac:dyDescent="0.3">
      <c r="A2374" s="9"/>
    </row>
    <row r="2375" spans="1:6" s="10" customFormat="1" x14ac:dyDescent="0.3">
      <c r="F2375" s="9"/>
    </row>
    <row r="2376" spans="1:6" s="10" customFormat="1" x14ac:dyDescent="0.3">
      <c r="A2376" s="9"/>
    </row>
    <row r="2377" spans="1:6" s="10" customFormat="1" x14ac:dyDescent="0.3">
      <c r="F2377" s="9"/>
    </row>
    <row r="2378" spans="1:6" s="10" customFormat="1" x14ac:dyDescent="0.3">
      <c r="A2378" s="9"/>
    </row>
    <row r="2379" spans="1:6" s="10" customFormat="1" x14ac:dyDescent="0.3">
      <c r="A2379" s="9"/>
    </row>
    <row r="2380" spans="1:6" s="10" customFormat="1" x14ac:dyDescent="0.3">
      <c r="F2380" s="9"/>
    </row>
    <row r="2381" spans="1:6" s="10" customFormat="1" x14ac:dyDescent="0.3">
      <c r="F2381" s="9"/>
    </row>
    <row r="2382" spans="1:6" s="10" customFormat="1" x14ac:dyDescent="0.3">
      <c r="A2382" s="9"/>
    </row>
    <row r="2383" spans="1:6" s="10" customFormat="1" x14ac:dyDescent="0.3">
      <c r="A2383" s="9"/>
    </row>
    <row r="2384" spans="1:6" s="10" customFormat="1" x14ac:dyDescent="0.3">
      <c r="A2384" s="9"/>
    </row>
    <row r="2385" spans="1:1" s="10" customFormat="1" x14ac:dyDescent="0.3">
      <c r="A2385" s="9"/>
    </row>
    <row r="2386" spans="1:1" s="10" customFormat="1" x14ac:dyDescent="0.3">
      <c r="A2386" s="9"/>
    </row>
    <row r="2387" spans="1:1" s="10" customFormat="1" x14ac:dyDescent="0.3">
      <c r="A2387" s="9"/>
    </row>
    <row r="2388" spans="1:1" s="10" customFormat="1" x14ac:dyDescent="0.3">
      <c r="A2388" s="9"/>
    </row>
    <row r="2389" spans="1:1" s="10" customFormat="1" x14ac:dyDescent="0.3">
      <c r="A2389" s="9"/>
    </row>
    <row r="2390" spans="1:1" s="10" customFormat="1" x14ac:dyDescent="0.3">
      <c r="A2390" s="9"/>
    </row>
    <row r="2391" spans="1:1" s="10" customFormat="1" x14ac:dyDescent="0.3">
      <c r="A2391" s="9"/>
    </row>
    <row r="2392" spans="1:1" s="10" customFormat="1" x14ac:dyDescent="0.3">
      <c r="A2392" s="9"/>
    </row>
    <row r="2393" spans="1:1" s="10" customFormat="1" x14ac:dyDescent="0.3">
      <c r="A2393" s="9"/>
    </row>
    <row r="2394" spans="1:1" s="10" customFormat="1" x14ac:dyDescent="0.3">
      <c r="A2394" s="9"/>
    </row>
    <row r="2395" spans="1:1" x14ac:dyDescent="0.3">
      <c r="A2395" s="9"/>
    </row>
    <row r="2396" spans="1:1" x14ac:dyDescent="0.3">
      <c r="A2396" s="9"/>
    </row>
    <row r="2397" spans="1:1" x14ac:dyDescent="0.3">
      <c r="A2397" s="9"/>
    </row>
    <row r="2398" spans="1:1" x14ac:dyDescent="0.3">
      <c r="A2398" s="9"/>
    </row>
    <row r="2399" spans="1:1" x14ac:dyDescent="0.3">
      <c r="A2399" s="9"/>
    </row>
    <row r="2400" spans="1:1" x14ac:dyDescent="0.3">
      <c r="A2400" s="9"/>
    </row>
    <row r="2401" spans="1:1" x14ac:dyDescent="0.3">
      <c r="A2401" s="9"/>
    </row>
    <row r="2402" spans="1:1" x14ac:dyDescent="0.3">
      <c r="A2402" s="9"/>
    </row>
    <row r="2403" spans="1:1" x14ac:dyDescent="0.3">
      <c r="A2403" s="9"/>
    </row>
    <row r="2404" spans="1:1" x14ac:dyDescent="0.3">
      <c r="A2404" s="9"/>
    </row>
    <row r="2405" spans="1:1" x14ac:dyDescent="0.3">
      <c r="A2405" s="9"/>
    </row>
    <row r="2406" spans="1:1" x14ac:dyDescent="0.3">
      <c r="A2406" s="9"/>
    </row>
    <row r="2407" spans="1:1" x14ac:dyDescent="0.3">
      <c r="A2407" s="9"/>
    </row>
    <row r="2408" spans="1:1" x14ac:dyDescent="0.3">
      <c r="A2408" s="9"/>
    </row>
    <row r="2409" spans="1:1" x14ac:dyDescent="0.3">
      <c r="A2409" s="9"/>
    </row>
    <row r="2410" spans="1:1" x14ac:dyDescent="0.3">
      <c r="A2410" s="9"/>
    </row>
    <row r="2411" spans="1:1" x14ac:dyDescent="0.3">
      <c r="A2411" s="9"/>
    </row>
    <row r="2412" spans="1:1" x14ac:dyDescent="0.3">
      <c r="A2412" s="9"/>
    </row>
    <row r="2413" spans="1:1" x14ac:dyDescent="0.3">
      <c r="A2413" s="9"/>
    </row>
    <row r="2414" spans="1:1" x14ac:dyDescent="0.3">
      <c r="A2414" s="9"/>
    </row>
    <row r="2415" spans="1:1" x14ac:dyDescent="0.3">
      <c r="A2415" s="9"/>
    </row>
    <row r="2416" spans="1:1" x14ac:dyDescent="0.3">
      <c r="A2416" s="9"/>
    </row>
    <row r="2417" spans="1:1" x14ac:dyDescent="0.3">
      <c r="A2417" s="9"/>
    </row>
    <row r="2418" spans="1:1" x14ac:dyDescent="0.3">
      <c r="A2418" s="9"/>
    </row>
    <row r="2419" spans="1:1" x14ac:dyDescent="0.3">
      <c r="A2419" s="9"/>
    </row>
    <row r="2420" spans="1:1" x14ac:dyDescent="0.3">
      <c r="A2420" s="9"/>
    </row>
    <row r="2421" spans="1:1" x14ac:dyDescent="0.3">
      <c r="A2421" s="9"/>
    </row>
    <row r="2422" spans="1:1" x14ac:dyDescent="0.3">
      <c r="A2422" s="9"/>
    </row>
    <row r="2423" spans="1:1" x14ac:dyDescent="0.3">
      <c r="A2423" s="9"/>
    </row>
    <row r="2424" spans="1:1" x14ac:dyDescent="0.3">
      <c r="A2424" s="9"/>
    </row>
    <row r="2425" spans="1:1" x14ac:dyDescent="0.3">
      <c r="A2425" s="9"/>
    </row>
    <row r="2426" spans="1:1" x14ac:dyDescent="0.3">
      <c r="A2426" s="9"/>
    </row>
    <row r="2427" spans="1:1" x14ac:dyDescent="0.3">
      <c r="A2427" s="9"/>
    </row>
    <row r="2428" spans="1:1" x14ac:dyDescent="0.3">
      <c r="A2428" s="9"/>
    </row>
    <row r="2429" spans="1:1" x14ac:dyDescent="0.3">
      <c r="A2429" s="9"/>
    </row>
    <row r="2430" spans="1:1" x14ac:dyDescent="0.3">
      <c r="A2430" s="9"/>
    </row>
    <row r="2431" spans="1:1" x14ac:dyDescent="0.3">
      <c r="A2431" s="9"/>
    </row>
    <row r="2432" spans="1:1" x14ac:dyDescent="0.3">
      <c r="A2432" s="9"/>
    </row>
    <row r="2433" spans="1:1" x14ac:dyDescent="0.3">
      <c r="A2433" s="9"/>
    </row>
    <row r="2434" spans="1:1" x14ac:dyDescent="0.3">
      <c r="A2434" s="9"/>
    </row>
    <row r="2435" spans="1:1" x14ac:dyDescent="0.3">
      <c r="A2435" s="9"/>
    </row>
    <row r="2436" spans="1:1" x14ac:dyDescent="0.3">
      <c r="A2436" s="9"/>
    </row>
    <row r="2437" spans="1:1" x14ac:dyDescent="0.3">
      <c r="A2437" s="9"/>
    </row>
    <row r="2438" spans="1:1" x14ac:dyDescent="0.3">
      <c r="A2438" s="9"/>
    </row>
    <row r="2439" spans="1:1" x14ac:dyDescent="0.3">
      <c r="A2439" s="9"/>
    </row>
    <row r="2440" spans="1:1" x14ac:dyDescent="0.3">
      <c r="A2440" s="9"/>
    </row>
    <row r="2441" spans="1:1" x14ac:dyDescent="0.3">
      <c r="A2441" s="9"/>
    </row>
    <row r="2442" spans="1:1" x14ac:dyDescent="0.3">
      <c r="A2442" s="9"/>
    </row>
    <row r="2443" spans="1:1" x14ac:dyDescent="0.3">
      <c r="A2443" s="9"/>
    </row>
    <row r="2444" spans="1:1" x14ac:dyDescent="0.3">
      <c r="A2444" s="9"/>
    </row>
    <row r="2445" spans="1:1" x14ac:dyDescent="0.3">
      <c r="A2445" s="9"/>
    </row>
    <row r="2446" spans="1:1" x14ac:dyDescent="0.3">
      <c r="A2446" s="9"/>
    </row>
    <row r="2447" spans="1:1" x14ac:dyDescent="0.3">
      <c r="A2447" s="9"/>
    </row>
    <row r="2448" spans="1:1" x14ac:dyDescent="0.3">
      <c r="A2448" s="9"/>
    </row>
    <row r="2449" spans="1:1" x14ac:dyDescent="0.3">
      <c r="A2449" s="9"/>
    </row>
    <row r="2450" spans="1:1" x14ac:dyDescent="0.3">
      <c r="A2450" s="9"/>
    </row>
    <row r="2451" spans="1:1" x14ac:dyDescent="0.3">
      <c r="A2451" s="9"/>
    </row>
    <row r="2452" spans="1:1" x14ac:dyDescent="0.3">
      <c r="A2452" s="9"/>
    </row>
    <row r="2453" spans="1:1" x14ac:dyDescent="0.3">
      <c r="A2453" s="9"/>
    </row>
    <row r="2454" spans="1:1" x14ac:dyDescent="0.3">
      <c r="A2454" s="9"/>
    </row>
    <row r="2455" spans="1:1" x14ac:dyDescent="0.3">
      <c r="A2455" s="9"/>
    </row>
    <row r="2456" spans="1:1" x14ac:dyDescent="0.3">
      <c r="A2456" s="9"/>
    </row>
    <row r="2457" spans="1:1" x14ac:dyDescent="0.3">
      <c r="A2457" s="9"/>
    </row>
    <row r="2458" spans="1:1" x14ac:dyDescent="0.3">
      <c r="A2458" s="9"/>
    </row>
    <row r="2459" spans="1:1" x14ac:dyDescent="0.3">
      <c r="A2459" s="9"/>
    </row>
    <row r="2460" spans="1:1" x14ac:dyDescent="0.3">
      <c r="A2460" s="9"/>
    </row>
    <row r="2461" spans="1:1" x14ac:dyDescent="0.3">
      <c r="A2461" s="9"/>
    </row>
    <row r="2462" spans="1:1" x14ac:dyDescent="0.3">
      <c r="A2462" s="9"/>
    </row>
    <row r="2463" spans="1:1" x14ac:dyDescent="0.3">
      <c r="A2463" s="9"/>
    </row>
    <row r="2464" spans="1:1" x14ac:dyDescent="0.3">
      <c r="A2464" s="9"/>
    </row>
    <row r="2465" spans="1:1" x14ac:dyDescent="0.3">
      <c r="A2465" s="9"/>
    </row>
    <row r="2466" spans="1:1" x14ac:dyDescent="0.3">
      <c r="A2466" s="9"/>
    </row>
    <row r="2467" spans="1:1" x14ac:dyDescent="0.3">
      <c r="A2467" s="9"/>
    </row>
    <row r="2468" spans="1:1" x14ac:dyDescent="0.3">
      <c r="A2468" s="9"/>
    </row>
    <row r="2469" spans="1:1" x14ac:dyDescent="0.3">
      <c r="A2469" s="9"/>
    </row>
    <row r="2470" spans="1:1" x14ac:dyDescent="0.3">
      <c r="A2470" s="9"/>
    </row>
    <row r="2471" spans="1:1" x14ac:dyDescent="0.3">
      <c r="A2471" s="9"/>
    </row>
    <row r="2472" spans="1:1" x14ac:dyDescent="0.3">
      <c r="A2472" s="9"/>
    </row>
    <row r="2473" spans="1:1" x14ac:dyDescent="0.3">
      <c r="A2473" s="9"/>
    </row>
    <row r="2474" spans="1:1" x14ac:dyDescent="0.3">
      <c r="A2474" s="9"/>
    </row>
    <row r="2475" spans="1:1" x14ac:dyDescent="0.3">
      <c r="A2475" s="9"/>
    </row>
    <row r="2476" spans="1:1" x14ac:dyDescent="0.3">
      <c r="A2476" s="9"/>
    </row>
    <row r="2477" spans="1:1" x14ac:dyDescent="0.3">
      <c r="A2477" s="9"/>
    </row>
    <row r="2478" spans="1:1" x14ac:dyDescent="0.3">
      <c r="A2478" s="9"/>
    </row>
    <row r="2479" spans="1:1" x14ac:dyDescent="0.3">
      <c r="A2479" s="9"/>
    </row>
    <row r="2480" spans="1:1" x14ac:dyDescent="0.3">
      <c r="A2480" s="9"/>
    </row>
    <row r="2481" spans="1:1" x14ac:dyDescent="0.3">
      <c r="A2481" s="9"/>
    </row>
    <row r="2482" spans="1:1" x14ac:dyDescent="0.3">
      <c r="A2482" s="9"/>
    </row>
    <row r="2483" spans="1:1" x14ac:dyDescent="0.3">
      <c r="A2483" s="9"/>
    </row>
    <row r="2484" spans="1:1" x14ac:dyDescent="0.3">
      <c r="A2484" s="9"/>
    </row>
    <row r="2485" spans="1:1" x14ac:dyDescent="0.3">
      <c r="A2485" s="9"/>
    </row>
    <row r="2486" spans="1:1" x14ac:dyDescent="0.3">
      <c r="A2486" s="9"/>
    </row>
    <row r="2487" spans="1:1" x14ac:dyDescent="0.3">
      <c r="A2487" s="9"/>
    </row>
    <row r="2488" spans="1:1" x14ac:dyDescent="0.3">
      <c r="A2488" s="9"/>
    </row>
    <row r="2489" spans="1:1" x14ac:dyDescent="0.3">
      <c r="A2489" s="9"/>
    </row>
    <row r="2490" spans="1:1" x14ac:dyDescent="0.3">
      <c r="A2490" s="9"/>
    </row>
    <row r="2491" spans="1:1" x14ac:dyDescent="0.3">
      <c r="A2491" s="9"/>
    </row>
    <row r="2492" spans="1:1" x14ac:dyDescent="0.3">
      <c r="A2492" s="9"/>
    </row>
    <row r="2493" spans="1:1" x14ac:dyDescent="0.3">
      <c r="A2493" s="9"/>
    </row>
    <row r="2494" spans="1:1" x14ac:dyDescent="0.3">
      <c r="A2494" s="9"/>
    </row>
    <row r="2495" spans="1:1" x14ac:dyDescent="0.3">
      <c r="A2495" s="9"/>
    </row>
    <row r="2496" spans="1:1" x14ac:dyDescent="0.3">
      <c r="A2496" s="9"/>
    </row>
    <row r="2497" spans="1:1" x14ac:dyDescent="0.3">
      <c r="A2497" s="9"/>
    </row>
    <row r="2498" spans="1:1" x14ac:dyDescent="0.3">
      <c r="A2498" s="9"/>
    </row>
    <row r="2499" spans="1:1" x14ac:dyDescent="0.3">
      <c r="A2499" s="9"/>
    </row>
    <row r="2500" spans="1:1" x14ac:dyDescent="0.3">
      <c r="A2500" s="9"/>
    </row>
    <row r="2501" spans="1:1" x14ac:dyDescent="0.3">
      <c r="A2501" s="9"/>
    </row>
    <row r="2502" spans="1:1" x14ac:dyDescent="0.3">
      <c r="A2502" s="9"/>
    </row>
    <row r="2503" spans="1:1" x14ac:dyDescent="0.3">
      <c r="A2503" s="9"/>
    </row>
    <row r="2504" spans="1:1" x14ac:dyDescent="0.3">
      <c r="A2504" s="9"/>
    </row>
    <row r="2505" spans="1:1" x14ac:dyDescent="0.3">
      <c r="A2505" s="9"/>
    </row>
    <row r="2506" spans="1:1" x14ac:dyDescent="0.3">
      <c r="A2506" s="9"/>
    </row>
    <row r="2507" spans="1:1" x14ac:dyDescent="0.3">
      <c r="A2507" s="9"/>
    </row>
    <row r="2508" spans="1:1" x14ac:dyDescent="0.3">
      <c r="A2508" s="9"/>
    </row>
    <row r="2509" spans="1:1" x14ac:dyDescent="0.3">
      <c r="A2509" s="9"/>
    </row>
    <row r="2510" spans="1:1" x14ac:dyDescent="0.3">
      <c r="A2510" s="9"/>
    </row>
    <row r="2511" spans="1:1" x14ac:dyDescent="0.3">
      <c r="A2511" s="9"/>
    </row>
    <row r="2512" spans="1:1" x14ac:dyDescent="0.3">
      <c r="A2512" s="9"/>
    </row>
    <row r="2513" spans="1:1" x14ac:dyDescent="0.3">
      <c r="A2513" s="9"/>
    </row>
    <row r="2514" spans="1:1" x14ac:dyDescent="0.3">
      <c r="A2514" s="9"/>
    </row>
    <row r="2515" spans="1:1" x14ac:dyDescent="0.3">
      <c r="A2515" s="9"/>
    </row>
    <row r="2516" spans="1:1" x14ac:dyDescent="0.3">
      <c r="A2516" s="9"/>
    </row>
    <row r="2517" spans="1:1" x14ac:dyDescent="0.3">
      <c r="A2517" s="9"/>
    </row>
    <row r="2518" spans="1:1" x14ac:dyDescent="0.3">
      <c r="A2518" s="9"/>
    </row>
    <row r="2519" spans="1:1" x14ac:dyDescent="0.3">
      <c r="A2519" s="9"/>
    </row>
    <row r="2520" spans="1:1" x14ac:dyDescent="0.3">
      <c r="A2520" s="9"/>
    </row>
    <row r="2521" spans="1:1" x14ac:dyDescent="0.3">
      <c r="A2521" s="9"/>
    </row>
    <row r="2522" spans="1:1" x14ac:dyDescent="0.3">
      <c r="A2522" s="9"/>
    </row>
    <row r="2523" spans="1:1" x14ac:dyDescent="0.3">
      <c r="A2523" s="9"/>
    </row>
    <row r="2524" spans="1:1" x14ac:dyDescent="0.3">
      <c r="A2524" s="9"/>
    </row>
    <row r="2525" spans="1:1" x14ac:dyDescent="0.3">
      <c r="A2525" s="9"/>
    </row>
    <row r="2526" spans="1:1" x14ac:dyDescent="0.3">
      <c r="A2526" s="9"/>
    </row>
    <row r="2527" spans="1:1" x14ac:dyDescent="0.3">
      <c r="A2527" s="9"/>
    </row>
    <row r="2528" spans="1:1" x14ac:dyDescent="0.3">
      <c r="A2528" s="9"/>
    </row>
    <row r="2529" spans="1:1" x14ac:dyDescent="0.3">
      <c r="A2529" s="9"/>
    </row>
    <row r="2530" spans="1:1" x14ac:dyDescent="0.3">
      <c r="A2530" s="9"/>
    </row>
    <row r="2531" spans="1:1" x14ac:dyDescent="0.3">
      <c r="A2531" s="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E132"/>
  <sheetViews>
    <sheetView topLeftCell="B1" zoomScale="50" zoomScaleNormal="50" workbookViewId="0">
      <selection activeCell="AQ34" sqref="AQ34"/>
    </sheetView>
  </sheetViews>
  <sheetFormatPr defaultRowHeight="14.4" x14ac:dyDescent="0.3"/>
  <cols>
    <col min="3" max="3" width="14.5546875" style="81" bestFit="1" customWidth="1"/>
    <col min="4" max="5" width="13.109375" bestFit="1" customWidth="1"/>
    <col min="12" max="12" width="14.88671875" style="81" bestFit="1" customWidth="1"/>
    <col min="13" max="13" width="13" style="81" bestFit="1" customWidth="1"/>
    <col min="14" max="14" width="9.109375" style="81"/>
    <col min="25" max="25" width="16" customWidth="1"/>
    <col min="26" max="26" width="11.44140625" customWidth="1"/>
  </cols>
  <sheetData>
    <row r="1" spans="1:31" x14ac:dyDescent="0.3">
      <c r="A1" t="s">
        <v>34</v>
      </c>
      <c r="B1" t="s">
        <v>15</v>
      </c>
      <c r="C1" s="81" t="s">
        <v>202</v>
      </c>
      <c r="D1" t="s">
        <v>203</v>
      </c>
      <c r="E1" t="s">
        <v>204</v>
      </c>
      <c r="F1" t="s">
        <v>205</v>
      </c>
      <c r="G1" t="s">
        <v>206</v>
      </c>
      <c r="U1" t="s">
        <v>39</v>
      </c>
      <c r="V1" t="s">
        <v>207</v>
      </c>
      <c r="W1">
        <f>F122</f>
        <v>0</v>
      </c>
      <c r="Y1" t="s">
        <v>202</v>
      </c>
      <c r="Z1" t="s">
        <v>209</v>
      </c>
      <c r="AA1" s="81">
        <f>L123</f>
        <v>8.4876543648230537E-5</v>
      </c>
      <c r="AC1" t="s">
        <v>212</v>
      </c>
      <c r="AE1" s="81">
        <v>5.1273148201289587E-3</v>
      </c>
    </row>
    <row r="2" spans="1:31" x14ac:dyDescent="0.3">
      <c r="A2">
        <v>0</v>
      </c>
      <c r="B2" s="82">
        <v>0</v>
      </c>
      <c r="D2">
        <v>0</v>
      </c>
      <c r="E2">
        <v>0</v>
      </c>
      <c r="F2">
        <v>0</v>
      </c>
      <c r="G2">
        <v>0</v>
      </c>
      <c r="I2" s="10">
        <f t="shared" ref="I2:I8" si="0">G2</f>
        <v>0</v>
      </c>
      <c r="V2" t="s">
        <v>24</v>
      </c>
      <c r="W2">
        <f>G122</f>
        <v>0</v>
      </c>
      <c r="X2" s="10"/>
      <c r="Z2" t="s">
        <v>210</v>
      </c>
      <c r="AA2" s="81">
        <f>M123</f>
        <v>1.7361110803904012E-4</v>
      </c>
    </row>
    <row r="3" spans="1:31" x14ac:dyDescent="0.3">
      <c r="A3">
        <v>0.1</v>
      </c>
      <c r="B3">
        <v>0</v>
      </c>
      <c r="D3">
        <v>0</v>
      </c>
      <c r="E3">
        <v>0</v>
      </c>
      <c r="F3">
        <v>0</v>
      </c>
      <c r="G3">
        <v>0</v>
      </c>
      <c r="I3">
        <f t="shared" si="0"/>
        <v>0</v>
      </c>
      <c r="L3" s="81" t="str">
        <f>IF(AND(VALUE(B3) &lt; 4,VALUE(B3)&gt;=0,NOT(ISBLANK(C3))),C3,"")</f>
        <v/>
      </c>
      <c r="M3" s="81" t="str">
        <f>IF(AND(VALUE(B3) &gt;=4,NOT(ISBLANK(C3))),C3,"")</f>
        <v/>
      </c>
      <c r="N3" s="81" t="str">
        <f>IF(AND(VALUE(B3) &lt; 0,NOT(ISBLANK(C3))),C3,"")</f>
        <v/>
      </c>
      <c r="V3" t="s">
        <v>208</v>
      </c>
      <c r="W3">
        <f>SUM(W1:W2)</f>
        <v>0</v>
      </c>
      <c r="Z3" t="s">
        <v>211</v>
      </c>
      <c r="AA3" s="81" t="e">
        <f>N123</f>
        <v>#DIV/0!</v>
      </c>
    </row>
    <row r="4" spans="1:31" x14ac:dyDescent="0.3">
      <c r="A4">
        <v>0.2</v>
      </c>
      <c r="B4">
        <v>1</v>
      </c>
      <c r="C4" s="81">
        <v>1.7361110803904012E-4</v>
      </c>
      <c r="D4">
        <v>0</v>
      </c>
      <c r="E4">
        <v>11</v>
      </c>
      <c r="F4">
        <v>0</v>
      </c>
      <c r="G4">
        <v>0</v>
      </c>
      <c r="I4" s="10">
        <f t="shared" si="0"/>
        <v>0</v>
      </c>
      <c r="L4" s="81">
        <f t="shared" ref="L4:L67" si="1">IF(AND(VALUE(B4) &lt; 4,VALUE(B4)&gt;=0,NOT(ISBLANK(C4))),C4,"")</f>
        <v>1.7361110803904012E-4</v>
      </c>
      <c r="M4" s="81" t="str">
        <f t="shared" ref="M4:M67" si="2">IF(AND(VALUE(B4) &gt;=4,NOT(ISBLANK(C4))),C4,"")</f>
        <v/>
      </c>
      <c r="N4" s="81" t="str">
        <f t="shared" ref="N4:N67" si="3">IF(AND(VALUE(B4) &lt; 0,NOT(ISBLANK(C4))),C4,"")</f>
        <v/>
      </c>
      <c r="O4" t="s">
        <v>213</v>
      </c>
    </row>
    <row r="5" spans="1:31" x14ac:dyDescent="0.3">
      <c r="A5">
        <v>0.3</v>
      </c>
      <c r="B5">
        <v>0</v>
      </c>
      <c r="D5">
        <v>0</v>
      </c>
      <c r="E5">
        <v>11</v>
      </c>
      <c r="F5">
        <v>0</v>
      </c>
      <c r="G5">
        <v>-22</v>
      </c>
      <c r="I5" s="10">
        <f t="shared" si="0"/>
        <v>-22</v>
      </c>
      <c r="L5" s="81" t="str">
        <f t="shared" si="1"/>
        <v/>
      </c>
      <c r="M5" s="81" t="str">
        <f t="shared" si="2"/>
        <v/>
      </c>
      <c r="N5" s="81" t="str">
        <f t="shared" si="3"/>
        <v/>
      </c>
    </row>
    <row r="6" spans="1:31" x14ac:dyDescent="0.3">
      <c r="A6">
        <v>0.4</v>
      </c>
      <c r="B6">
        <v>0</v>
      </c>
      <c r="D6">
        <v>0</v>
      </c>
      <c r="E6">
        <v>11</v>
      </c>
      <c r="F6">
        <v>0</v>
      </c>
      <c r="G6">
        <v>-33</v>
      </c>
      <c r="I6" s="10">
        <f t="shared" si="0"/>
        <v>-33</v>
      </c>
      <c r="L6" s="81" t="str">
        <f t="shared" si="1"/>
        <v/>
      </c>
      <c r="M6" s="81" t="str">
        <f t="shared" si="2"/>
        <v/>
      </c>
      <c r="N6" s="81" t="str">
        <f t="shared" si="3"/>
        <v/>
      </c>
    </row>
    <row r="7" spans="1:31" x14ac:dyDescent="0.3">
      <c r="A7">
        <v>0.5</v>
      </c>
      <c r="B7">
        <v>4</v>
      </c>
      <c r="D7">
        <v>0</v>
      </c>
      <c r="E7">
        <v>11</v>
      </c>
      <c r="F7">
        <v>0</v>
      </c>
      <c r="G7">
        <v>-11</v>
      </c>
      <c r="I7" s="10">
        <f t="shared" si="0"/>
        <v>-11</v>
      </c>
      <c r="L7" s="81" t="str">
        <f t="shared" si="1"/>
        <v/>
      </c>
      <c r="M7" s="81" t="str">
        <f t="shared" si="2"/>
        <v/>
      </c>
      <c r="N7" s="81" t="str">
        <f t="shared" si="3"/>
        <v/>
      </c>
    </row>
    <row r="8" spans="1:31" x14ac:dyDescent="0.3">
      <c r="A8">
        <v>1</v>
      </c>
      <c r="B8">
        <v>1</v>
      </c>
      <c r="D8">
        <v>0</v>
      </c>
      <c r="E8">
        <v>0</v>
      </c>
      <c r="F8">
        <v>0</v>
      </c>
      <c r="G8">
        <v>-11</v>
      </c>
      <c r="I8" s="10">
        <f t="shared" si="0"/>
        <v>-11</v>
      </c>
      <c r="L8" s="81" t="str">
        <f t="shared" si="1"/>
        <v/>
      </c>
      <c r="M8" s="81" t="str">
        <f t="shared" si="2"/>
        <v/>
      </c>
      <c r="N8" s="81" t="str">
        <f t="shared" si="3"/>
        <v/>
      </c>
    </row>
    <row r="9" spans="1:31" x14ac:dyDescent="0.3">
      <c r="A9">
        <v>1.1000000000000001</v>
      </c>
      <c r="B9">
        <v>4</v>
      </c>
      <c r="C9" s="81">
        <v>1.7361110803904012E-4</v>
      </c>
      <c r="D9">
        <v>0</v>
      </c>
      <c r="E9">
        <v>-11</v>
      </c>
      <c r="F9">
        <v>0</v>
      </c>
      <c r="G9">
        <v>-22</v>
      </c>
      <c r="J9">
        <f t="shared" ref="J9:J14" si="4">G9-$G$8</f>
        <v>-11</v>
      </c>
      <c r="L9" s="81" t="str">
        <f t="shared" si="1"/>
        <v/>
      </c>
      <c r="M9" s="81">
        <f t="shared" si="2"/>
        <v>1.7361110803904012E-4</v>
      </c>
      <c r="N9" s="81" t="str">
        <f t="shared" si="3"/>
        <v/>
      </c>
    </row>
    <row r="10" spans="1:31" x14ac:dyDescent="0.3">
      <c r="A10">
        <v>1.2</v>
      </c>
      <c r="B10">
        <v>2</v>
      </c>
      <c r="D10">
        <v>0</v>
      </c>
      <c r="E10">
        <v>-11</v>
      </c>
      <c r="F10">
        <v>0</v>
      </c>
      <c r="G10">
        <v>0</v>
      </c>
      <c r="J10" s="10">
        <f t="shared" si="4"/>
        <v>11</v>
      </c>
      <c r="L10" s="81" t="str">
        <f t="shared" si="1"/>
        <v/>
      </c>
      <c r="M10" s="81" t="str">
        <f t="shared" si="2"/>
        <v/>
      </c>
      <c r="N10" s="81" t="str">
        <f t="shared" si="3"/>
        <v/>
      </c>
    </row>
    <row r="11" spans="1:31" x14ac:dyDescent="0.3">
      <c r="A11">
        <v>1.3</v>
      </c>
      <c r="B11">
        <v>0</v>
      </c>
      <c r="D11">
        <v>0</v>
      </c>
      <c r="E11">
        <v>-11</v>
      </c>
      <c r="F11">
        <v>0</v>
      </c>
      <c r="G11">
        <v>33</v>
      </c>
      <c r="J11" s="10">
        <f t="shared" si="4"/>
        <v>44</v>
      </c>
      <c r="L11" s="81" t="str">
        <f t="shared" si="1"/>
        <v/>
      </c>
      <c r="M11" s="81" t="str">
        <f t="shared" si="2"/>
        <v/>
      </c>
      <c r="N11" s="81" t="str">
        <f t="shared" si="3"/>
        <v/>
      </c>
      <c r="R11" s="10"/>
    </row>
    <row r="12" spans="1:31" x14ac:dyDescent="0.3">
      <c r="A12">
        <v>1.4</v>
      </c>
      <c r="B12">
        <v>0</v>
      </c>
      <c r="C12" s="81">
        <v>3.4722223062999547E-5</v>
      </c>
      <c r="D12">
        <v>0</v>
      </c>
      <c r="E12">
        <v>0</v>
      </c>
      <c r="F12">
        <v>0</v>
      </c>
      <c r="G12">
        <v>44</v>
      </c>
      <c r="J12" s="10">
        <f t="shared" si="4"/>
        <v>55</v>
      </c>
      <c r="L12" s="81">
        <f t="shared" si="1"/>
        <v>3.4722223062999547E-5</v>
      </c>
      <c r="M12" s="81" t="str">
        <f t="shared" si="2"/>
        <v/>
      </c>
      <c r="N12" s="81" t="str">
        <f t="shared" si="3"/>
        <v/>
      </c>
    </row>
    <row r="13" spans="1:31" x14ac:dyDescent="0.3">
      <c r="A13">
        <v>1.5</v>
      </c>
      <c r="B13">
        <v>0</v>
      </c>
      <c r="D13">
        <v>0</v>
      </c>
      <c r="E13">
        <v>0</v>
      </c>
      <c r="F13">
        <v>0</v>
      </c>
      <c r="G13">
        <v>44</v>
      </c>
      <c r="J13" s="10">
        <f t="shared" si="4"/>
        <v>55</v>
      </c>
      <c r="L13" s="81" t="str">
        <f t="shared" si="1"/>
        <v/>
      </c>
      <c r="M13" s="81" t="str">
        <f t="shared" si="2"/>
        <v/>
      </c>
      <c r="N13" s="81" t="str">
        <f t="shared" si="3"/>
        <v/>
      </c>
    </row>
    <row r="14" spans="1:31" x14ac:dyDescent="0.3">
      <c r="A14">
        <v>2</v>
      </c>
      <c r="B14">
        <v>6</v>
      </c>
      <c r="D14">
        <v>0</v>
      </c>
      <c r="E14">
        <v>0</v>
      </c>
      <c r="F14">
        <v>0</v>
      </c>
      <c r="G14">
        <v>44</v>
      </c>
      <c r="J14" s="10">
        <f t="shared" si="4"/>
        <v>55</v>
      </c>
      <c r="L14" s="81" t="str">
        <f t="shared" si="1"/>
        <v/>
      </c>
      <c r="M14" s="81" t="str">
        <f t="shared" si="2"/>
        <v/>
      </c>
      <c r="N14" s="81" t="str">
        <f t="shared" si="3"/>
        <v/>
      </c>
    </row>
    <row r="15" spans="1:31" x14ac:dyDescent="0.3">
      <c r="A15">
        <v>2.1</v>
      </c>
      <c r="B15">
        <v>4</v>
      </c>
      <c r="D15">
        <v>0</v>
      </c>
      <c r="E15">
        <v>0</v>
      </c>
      <c r="F15">
        <v>0</v>
      </c>
      <c r="G15">
        <v>44</v>
      </c>
      <c r="I15">
        <f t="shared" ref="I15:I20" si="5">G15-$G$14</f>
        <v>0</v>
      </c>
      <c r="L15" s="81" t="str">
        <f t="shared" si="1"/>
        <v/>
      </c>
      <c r="M15" s="81" t="str">
        <f t="shared" si="2"/>
        <v/>
      </c>
      <c r="N15" s="81" t="str">
        <f t="shared" si="3"/>
        <v/>
      </c>
    </row>
    <row r="16" spans="1:31" x14ac:dyDescent="0.3">
      <c r="A16">
        <v>2.2000000000000002</v>
      </c>
      <c r="B16">
        <v>0</v>
      </c>
      <c r="D16">
        <v>0</v>
      </c>
      <c r="E16">
        <v>0</v>
      </c>
      <c r="F16">
        <v>0</v>
      </c>
      <c r="G16">
        <v>44</v>
      </c>
      <c r="I16" s="10">
        <f t="shared" si="5"/>
        <v>0</v>
      </c>
      <c r="L16" s="81" t="str">
        <f t="shared" si="1"/>
        <v/>
      </c>
      <c r="M16" s="81" t="str">
        <f t="shared" si="2"/>
        <v/>
      </c>
      <c r="N16" s="81" t="str">
        <f t="shared" si="3"/>
        <v/>
      </c>
      <c r="P16" s="10"/>
      <c r="Q16" s="10"/>
    </row>
    <row r="17" spans="1:17" x14ac:dyDescent="0.3">
      <c r="A17">
        <v>2.2999999999999998</v>
      </c>
      <c r="B17">
        <v>1</v>
      </c>
      <c r="D17">
        <v>0</v>
      </c>
      <c r="E17">
        <v>0</v>
      </c>
      <c r="F17">
        <v>0</v>
      </c>
      <c r="G17">
        <v>44</v>
      </c>
      <c r="I17" s="10">
        <f t="shared" si="5"/>
        <v>0</v>
      </c>
      <c r="L17" s="81" t="str">
        <f t="shared" si="1"/>
        <v/>
      </c>
      <c r="M17" s="81" t="str">
        <f t="shared" si="2"/>
        <v/>
      </c>
      <c r="N17" s="81" t="str">
        <f t="shared" si="3"/>
        <v/>
      </c>
      <c r="P17" s="10"/>
    </row>
    <row r="18" spans="1:17" x14ac:dyDescent="0.3">
      <c r="A18">
        <v>2.4</v>
      </c>
      <c r="B18">
        <v>0</v>
      </c>
      <c r="D18">
        <v>0</v>
      </c>
      <c r="E18">
        <v>0</v>
      </c>
      <c r="F18">
        <v>0</v>
      </c>
      <c r="G18">
        <v>44</v>
      </c>
      <c r="I18" s="10">
        <f t="shared" si="5"/>
        <v>0</v>
      </c>
      <c r="L18" s="81" t="str">
        <f t="shared" si="1"/>
        <v/>
      </c>
      <c r="M18" s="81" t="str">
        <f t="shared" si="2"/>
        <v/>
      </c>
      <c r="N18" s="81" t="str">
        <f t="shared" si="3"/>
        <v/>
      </c>
    </row>
    <row r="19" spans="1:17" x14ac:dyDescent="0.3">
      <c r="A19">
        <v>2.5</v>
      </c>
      <c r="B19">
        <v>1</v>
      </c>
      <c r="D19">
        <v>0</v>
      </c>
      <c r="E19">
        <v>0</v>
      </c>
      <c r="F19">
        <v>0</v>
      </c>
      <c r="G19">
        <v>44</v>
      </c>
      <c r="I19" s="10">
        <f t="shared" si="5"/>
        <v>0</v>
      </c>
      <c r="L19" s="81" t="str">
        <f t="shared" si="1"/>
        <v/>
      </c>
      <c r="M19" s="81" t="str">
        <f t="shared" si="2"/>
        <v/>
      </c>
      <c r="N19" s="81" t="str">
        <f t="shared" si="3"/>
        <v/>
      </c>
    </row>
    <row r="20" spans="1:17" x14ac:dyDescent="0.3">
      <c r="A20">
        <v>3</v>
      </c>
      <c r="B20">
        <v>0</v>
      </c>
      <c r="D20">
        <v>0</v>
      </c>
      <c r="E20">
        <v>0</v>
      </c>
      <c r="F20">
        <v>0</v>
      </c>
      <c r="G20">
        <v>44</v>
      </c>
      <c r="I20" s="10">
        <f t="shared" si="5"/>
        <v>0</v>
      </c>
      <c r="L20" s="81" t="str">
        <f t="shared" si="1"/>
        <v/>
      </c>
      <c r="M20" s="81" t="str">
        <f t="shared" si="2"/>
        <v/>
      </c>
      <c r="N20" s="81" t="str">
        <f t="shared" si="3"/>
        <v/>
      </c>
      <c r="Q20" s="10"/>
    </row>
    <row r="21" spans="1:17" x14ac:dyDescent="0.3">
      <c r="A21">
        <v>3.1</v>
      </c>
      <c r="B21">
        <v>4</v>
      </c>
      <c r="D21">
        <v>0</v>
      </c>
      <c r="E21">
        <v>0</v>
      </c>
      <c r="F21">
        <v>0</v>
      </c>
      <c r="G21">
        <v>44</v>
      </c>
      <c r="J21">
        <f t="shared" ref="J21:J26" si="6">G21-$G$20</f>
        <v>0</v>
      </c>
      <c r="L21" s="81" t="str">
        <f t="shared" si="1"/>
        <v/>
      </c>
      <c r="M21" s="81" t="str">
        <f t="shared" si="2"/>
        <v/>
      </c>
      <c r="N21" s="81" t="str">
        <f t="shared" si="3"/>
        <v/>
      </c>
    </row>
    <row r="22" spans="1:17" x14ac:dyDescent="0.3">
      <c r="A22">
        <v>3.2</v>
      </c>
      <c r="B22">
        <v>0</v>
      </c>
      <c r="D22">
        <v>0</v>
      </c>
      <c r="E22">
        <v>0</v>
      </c>
      <c r="F22">
        <v>0</v>
      </c>
      <c r="G22">
        <v>44</v>
      </c>
      <c r="J22" s="10">
        <f t="shared" si="6"/>
        <v>0</v>
      </c>
      <c r="L22" s="81" t="str">
        <f t="shared" si="1"/>
        <v/>
      </c>
      <c r="M22" s="81" t="str">
        <f t="shared" si="2"/>
        <v/>
      </c>
      <c r="N22" s="81" t="str">
        <f t="shared" si="3"/>
        <v/>
      </c>
    </row>
    <row r="23" spans="1:17" x14ac:dyDescent="0.3">
      <c r="A23">
        <v>3.3</v>
      </c>
      <c r="B23">
        <v>4</v>
      </c>
      <c r="D23">
        <v>0</v>
      </c>
      <c r="E23">
        <v>0</v>
      </c>
      <c r="F23">
        <v>0</v>
      </c>
      <c r="G23">
        <v>44</v>
      </c>
      <c r="J23" s="10">
        <f t="shared" si="6"/>
        <v>0</v>
      </c>
      <c r="L23" s="81" t="str">
        <f t="shared" si="1"/>
        <v/>
      </c>
      <c r="M23" s="81" t="str">
        <f t="shared" si="2"/>
        <v/>
      </c>
      <c r="N23" s="81" t="str">
        <f t="shared" si="3"/>
        <v/>
      </c>
    </row>
    <row r="24" spans="1:17" x14ac:dyDescent="0.3">
      <c r="A24">
        <v>3.4</v>
      </c>
      <c r="B24">
        <v>0</v>
      </c>
      <c r="D24">
        <v>0</v>
      </c>
      <c r="E24">
        <v>0</v>
      </c>
      <c r="F24">
        <v>0</v>
      </c>
      <c r="G24">
        <v>44</v>
      </c>
      <c r="J24" s="10">
        <f t="shared" si="6"/>
        <v>0</v>
      </c>
      <c r="L24" s="81" t="str">
        <f t="shared" si="1"/>
        <v/>
      </c>
      <c r="M24" s="81" t="str">
        <f t="shared" si="2"/>
        <v/>
      </c>
      <c r="N24" s="81" t="str">
        <f t="shared" si="3"/>
        <v/>
      </c>
    </row>
    <row r="25" spans="1:17" x14ac:dyDescent="0.3">
      <c r="A25">
        <v>3.5</v>
      </c>
      <c r="B25">
        <v>6</v>
      </c>
      <c r="D25">
        <v>0</v>
      </c>
      <c r="E25">
        <v>0</v>
      </c>
      <c r="F25">
        <v>0</v>
      </c>
      <c r="G25">
        <v>44</v>
      </c>
      <c r="J25" s="10">
        <f t="shared" si="6"/>
        <v>0</v>
      </c>
      <c r="L25" s="81" t="str">
        <f t="shared" si="1"/>
        <v/>
      </c>
      <c r="M25" s="81" t="str">
        <f t="shared" si="2"/>
        <v/>
      </c>
      <c r="N25" s="81" t="str">
        <f t="shared" si="3"/>
        <v/>
      </c>
    </row>
    <row r="26" spans="1:17" x14ac:dyDescent="0.3">
      <c r="A26">
        <v>4</v>
      </c>
      <c r="B26">
        <v>0</v>
      </c>
      <c r="D26">
        <v>0</v>
      </c>
      <c r="E26">
        <v>0</v>
      </c>
      <c r="F26">
        <v>0</v>
      </c>
      <c r="G26">
        <v>44</v>
      </c>
      <c r="J26" s="10">
        <f t="shared" si="6"/>
        <v>0</v>
      </c>
      <c r="L26" s="81" t="str">
        <f t="shared" si="1"/>
        <v/>
      </c>
      <c r="M26" s="81" t="str">
        <f t="shared" si="2"/>
        <v/>
      </c>
      <c r="N26" s="81" t="str">
        <f t="shared" si="3"/>
        <v/>
      </c>
    </row>
    <row r="27" spans="1:17" x14ac:dyDescent="0.3">
      <c r="A27">
        <v>4.0999999999999996</v>
      </c>
      <c r="B27">
        <v>0</v>
      </c>
      <c r="D27">
        <v>0</v>
      </c>
      <c r="E27">
        <v>0</v>
      </c>
      <c r="F27">
        <v>0</v>
      </c>
      <c r="G27">
        <v>44</v>
      </c>
      <c r="I27">
        <f t="shared" ref="I27:I32" si="7">G27-$G$26</f>
        <v>0</v>
      </c>
      <c r="L27" s="81" t="str">
        <f t="shared" si="1"/>
        <v/>
      </c>
      <c r="M27" s="81" t="str">
        <f t="shared" si="2"/>
        <v/>
      </c>
      <c r="N27" s="81" t="str">
        <f t="shared" si="3"/>
        <v/>
      </c>
    </row>
    <row r="28" spans="1:17" x14ac:dyDescent="0.3">
      <c r="A28">
        <v>4.2</v>
      </c>
      <c r="B28">
        <v>0</v>
      </c>
      <c r="D28">
        <v>0</v>
      </c>
      <c r="E28">
        <v>0</v>
      </c>
      <c r="F28">
        <v>0</v>
      </c>
      <c r="G28">
        <v>44</v>
      </c>
      <c r="I28" s="10">
        <f t="shared" si="7"/>
        <v>0</v>
      </c>
      <c r="L28" s="81" t="str">
        <f t="shared" si="1"/>
        <v/>
      </c>
      <c r="M28" s="81" t="str">
        <f t="shared" si="2"/>
        <v/>
      </c>
      <c r="N28" s="81" t="str">
        <f t="shared" si="3"/>
        <v/>
      </c>
      <c r="Q28" s="10"/>
    </row>
    <row r="29" spans="1:17" x14ac:dyDescent="0.3">
      <c r="A29">
        <v>4.3</v>
      </c>
      <c r="B29">
        <v>4</v>
      </c>
      <c r="D29">
        <v>0</v>
      </c>
      <c r="E29">
        <v>0</v>
      </c>
      <c r="F29">
        <v>0</v>
      </c>
      <c r="G29">
        <v>44</v>
      </c>
      <c r="I29" s="10">
        <f t="shared" si="7"/>
        <v>0</v>
      </c>
      <c r="L29" s="81" t="str">
        <f t="shared" si="1"/>
        <v/>
      </c>
      <c r="M29" s="81" t="str">
        <f t="shared" si="2"/>
        <v/>
      </c>
      <c r="N29" s="81" t="str">
        <f t="shared" si="3"/>
        <v/>
      </c>
      <c r="P29" s="10"/>
    </row>
    <row r="30" spans="1:17" x14ac:dyDescent="0.3">
      <c r="A30">
        <v>4.4000000000000004</v>
      </c>
      <c r="B30">
        <v>1</v>
      </c>
      <c r="D30">
        <v>0</v>
      </c>
      <c r="E30">
        <v>0</v>
      </c>
      <c r="F30">
        <v>0</v>
      </c>
      <c r="G30">
        <v>44</v>
      </c>
      <c r="I30" s="10">
        <f t="shared" si="7"/>
        <v>0</v>
      </c>
      <c r="L30" s="81" t="str">
        <f t="shared" si="1"/>
        <v/>
      </c>
      <c r="M30" s="81" t="str">
        <f t="shared" si="2"/>
        <v/>
      </c>
      <c r="N30" s="81" t="str">
        <f t="shared" si="3"/>
        <v/>
      </c>
    </row>
    <row r="31" spans="1:17" x14ac:dyDescent="0.3">
      <c r="A31">
        <v>4.5</v>
      </c>
      <c r="B31">
        <v>1</v>
      </c>
      <c r="D31">
        <v>0</v>
      </c>
      <c r="E31">
        <v>0</v>
      </c>
      <c r="F31">
        <v>0</v>
      </c>
      <c r="G31">
        <v>44</v>
      </c>
      <c r="I31" s="10">
        <f t="shared" si="7"/>
        <v>0</v>
      </c>
      <c r="L31" s="81" t="str">
        <f t="shared" si="1"/>
        <v/>
      </c>
      <c r="M31" s="81" t="str">
        <f t="shared" si="2"/>
        <v/>
      </c>
      <c r="N31" s="81" t="str">
        <f t="shared" si="3"/>
        <v/>
      </c>
    </row>
    <row r="32" spans="1:17" x14ac:dyDescent="0.3">
      <c r="A32">
        <v>5</v>
      </c>
      <c r="B32">
        <v>-2</v>
      </c>
      <c r="D32">
        <v>0</v>
      </c>
      <c r="E32">
        <v>0</v>
      </c>
      <c r="F32">
        <v>0</v>
      </c>
      <c r="G32">
        <v>44</v>
      </c>
      <c r="I32" s="10">
        <f t="shared" si="7"/>
        <v>0</v>
      </c>
      <c r="L32" s="81" t="str">
        <f t="shared" si="1"/>
        <v/>
      </c>
      <c r="M32" s="81" t="str">
        <f t="shared" si="2"/>
        <v/>
      </c>
      <c r="N32" s="81" t="str">
        <f t="shared" si="3"/>
        <v/>
      </c>
    </row>
    <row r="33" spans="1:14" x14ac:dyDescent="0.3">
      <c r="A33">
        <v>5.0999999999999996</v>
      </c>
      <c r="B33">
        <v>0</v>
      </c>
      <c r="D33">
        <v>0</v>
      </c>
      <c r="E33">
        <v>0</v>
      </c>
      <c r="F33">
        <v>0</v>
      </c>
      <c r="G33">
        <v>44</v>
      </c>
      <c r="J33">
        <f t="shared" ref="J33:J38" si="8">G33-$G$32</f>
        <v>0</v>
      </c>
      <c r="L33" s="81" t="str">
        <f t="shared" si="1"/>
        <v/>
      </c>
      <c r="M33" s="81" t="str">
        <f t="shared" si="2"/>
        <v/>
      </c>
      <c r="N33" s="81" t="str">
        <f t="shared" si="3"/>
        <v/>
      </c>
    </row>
    <row r="34" spans="1:14" x14ac:dyDescent="0.3">
      <c r="A34">
        <v>17.5</v>
      </c>
      <c r="B34">
        <v>0</v>
      </c>
      <c r="C34" s="81">
        <v>4.6296299842651933E-5</v>
      </c>
      <c r="D34">
        <v>2</v>
      </c>
      <c r="E34">
        <v>0</v>
      </c>
      <c r="F34">
        <v>-82</v>
      </c>
      <c r="G34">
        <v>-44</v>
      </c>
      <c r="J34" s="10">
        <f t="shared" si="8"/>
        <v>-88</v>
      </c>
      <c r="L34" s="81">
        <f t="shared" si="1"/>
        <v>4.6296299842651933E-5</v>
      </c>
      <c r="M34" s="81" t="str">
        <f t="shared" si="2"/>
        <v/>
      </c>
      <c r="N34" s="81" t="str">
        <f t="shared" si="3"/>
        <v/>
      </c>
    </row>
    <row r="35" spans="1:14" x14ac:dyDescent="0.3">
      <c r="A35">
        <v>18</v>
      </c>
      <c r="B35">
        <v>1</v>
      </c>
      <c r="D35">
        <v>2</v>
      </c>
      <c r="E35">
        <v>0</v>
      </c>
      <c r="F35">
        <v>-92</v>
      </c>
      <c r="G35">
        <v>-44</v>
      </c>
      <c r="J35" s="10">
        <f t="shared" si="8"/>
        <v>-88</v>
      </c>
      <c r="L35" s="81" t="str">
        <f t="shared" si="1"/>
        <v/>
      </c>
      <c r="M35" s="81" t="str">
        <f t="shared" si="2"/>
        <v/>
      </c>
      <c r="N35" s="81" t="str">
        <f t="shared" si="3"/>
        <v/>
      </c>
    </row>
    <row r="36" spans="1:14" x14ac:dyDescent="0.3">
      <c r="A36">
        <v>18.100000000000001</v>
      </c>
      <c r="B36">
        <v>1</v>
      </c>
      <c r="D36">
        <v>2</v>
      </c>
      <c r="E36">
        <v>0</v>
      </c>
      <c r="F36">
        <v>-92</v>
      </c>
      <c r="G36">
        <v>-44</v>
      </c>
      <c r="J36" s="10">
        <f t="shared" si="8"/>
        <v>-88</v>
      </c>
      <c r="L36" s="81" t="str">
        <f t="shared" si="1"/>
        <v/>
      </c>
      <c r="M36" s="81" t="str">
        <f t="shared" si="2"/>
        <v/>
      </c>
      <c r="N36" s="81" t="str">
        <f t="shared" si="3"/>
        <v/>
      </c>
    </row>
    <row r="37" spans="1:14" x14ac:dyDescent="0.3">
      <c r="A37">
        <v>18.2</v>
      </c>
      <c r="B37">
        <v>1</v>
      </c>
      <c r="D37">
        <v>2</v>
      </c>
      <c r="E37">
        <v>0</v>
      </c>
      <c r="F37">
        <v>-92</v>
      </c>
      <c r="G37">
        <v>-44</v>
      </c>
      <c r="J37" s="10">
        <f t="shared" si="8"/>
        <v>-88</v>
      </c>
      <c r="L37" s="81" t="str">
        <f t="shared" si="1"/>
        <v/>
      </c>
      <c r="M37" s="81" t="str">
        <f t="shared" si="2"/>
        <v/>
      </c>
      <c r="N37" s="81" t="str">
        <f t="shared" si="3"/>
        <v/>
      </c>
    </row>
    <row r="38" spans="1:14" x14ac:dyDescent="0.3">
      <c r="A38">
        <v>18.3</v>
      </c>
      <c r="B38">
        <v>4</v>
      </c>
      <c r="D38">
        <v>2</v>
      </c>
      <c r="E38">
        <v>0</v>
      </c>
      <c r="F38">
        <v>-90</v>
      </c>
      <c r="G38">
        <v>-44</v>
      </c>
      <c r="J38" s="10">
        <f t="shared" si="8"/>
        <v>-88</v>
      </c>
      <c r="L38" s="81" t="str">
        <f t="shared" si="1"/>
        <v/>
      </c>
      <c r="M38" s="81" t="str">
        <f t="shared" si="2"/>
        <v/>
      </c>
      <c r="N38" s="81" t="str">
        <f t="shared" si="3"/>
        <v/>
      </c>
    </row>
    <row r="39" spans="1:14" x14ac:dyDescent="0.3">
      <c r="A39">
        <v>18.399999999999999</v>
      </c>
      <c r="B39">
        <v>1</v>
      </c>
      <c r="D39">
        <v>2</v>
      </c>
      <c r="E39">
        <v>0</v>
      </c>
      <c r="F39">
        <v>-80</v>
      </c>
      <c r="G39">
        <v>-44</v>
      </c>
      <c r="I39">
        <f t="shared" ref="I39:I44" si="9">G39-$G$38</f>
        <v>0</v>
      </c>
      <c r="L39" s="81" t="str">
        <f t="shared" si="1"/>
        <v/>
      </c>
      <c r="M39" s="81" t="str">
        <f t="shared" si="2"/>
        <v/>
      </c>
      <c r="N39" s="81" t="str">
        <f t="shared" si="3"/>
        <v/>
      </c>
    </row>
    <row r="40" spans="1:14" x14ac:dyDescent="0.3">
      <c r="A40">
        <v>18.5</v>
      </c>
      <c r="B40">
        <v>-2</v>
      </c>
      <c r="D40">
        <v>2</v>
      </c>
      <c r="E40">
        <v>0</v>
      </c>
      <c r="F40">
        <v>-78</v>
      </c>
      <c r="G40">
        <v>-44</v>
      </c>
      <c r="I40" s="10">
        <f t="shared" si="9"/>
        <v>0</v>
      </c>
      <c r="L40" s="81" t="str">
        <f t="shared" si="1"/>
        <v/>
      </c>
      <c r="M40" s="81" t="str">
        <f t="shared" si="2"/>
        <v/>
      </c>
      <c r="N40" s="81" t="str">
        <f t="shared" si="3"/>
        <v/>
      </c>
    </row>
    <row r="41" spans="1:14" x14ac:dyDescent="0.3">
      <c r="A41">
        <v>19</v>
      </c>
      <c r="B41">
        <v>0</v>
      </c>
      <c r="D41">
        <v>2</v>
      </c>
      <c r="E41">
        <v>0</v>
      </c>
      <c r="F41">
        <v>-70</v>
      </c>
      <c r="G41">
        <v>-44</v>
      </c>
      <c r="I41" s="10">
        <f t="shared" si="9"/>
        <v>0</v>
      </c>
      <c r="L41" s="81" t="str">
        <f t="shared" si="1"/>
        <v/>
      </c>
      <c r="M41" s="81" t="str">
        <f t="shared" si="2"/>
        <v/>
      </c>
      <c r="N41" s="81" t="str">
        <f t="shared" si="3"/>
        <v/>
      </c>
    </row>
    <row r="42" spans="1:14" x14ac:dyDescent="0.3">
      <c r="A42">
        <v>19.100000000000001</v>
      </c>
      <c r="B42">
        <v>2</v>
      </c>
      <c r="D42">
        <v>2</v>
      </c>
      <c r="E42">
        <v>0</v>
      </c>
      <c r="F42">
        <v>-70</v>
      </c>
      <c r="G42">
        <v>-44</v>
      </c>
      <c r="I42" s="10">
        <f t="shared" si="9"/>
        <v>0</v>
      </c>
      <c r="L42" s="81" t="str">
        <f t="shared" si="1"/>
        <v/>
      </c>
      <c r="M42" s="81" t="str">
        <f t="shared" si="2"/>
        <v/>
      </c>
      <c r="N42" s="81" t="str">
        <f t="shared" si="3"/>
        <v/>
      </c>
    </row>
    <row r="43" spans="1:14" x14ac:dyDescent="0.3">
      <c r="A43">
        <v>19.2</v>
      </c>
      <c r="B43">
        <v>2</v>
      </c>
      <c r="D43">
        <v>2</v>
      </c>
      <c r="E43">
        <v>0</v>
      </c>
      <c r="F43">
        <v>-64</v>
      </c>
      <c r="G43">
        <v>-44</v>
      </c>
      <c r="I43" s="10">
        <f t="shared" si="9"/>
        <v>0</v>
      </c>
      <c r="L43" s="81" t="str">
        <f t="shared" si="1"/>
        <v/>
      </c>
      <c r="M43" s="81" t="str">
        <f t="shared" si="2"/>
        <v/>
      </c>
      <c r="N43" s="81" t="str">
        <f t="shared" si="3"/>
        <v/>
      </c>
    </row>
    <row r="44" spans="1:14" x14ac:dyDescent="0.3">
      <c r="A44">
        <v>19.3</v>
      </c>
      <c r="B44">
        <v>1</v>
      </c>
      <c r="D44">
        <v>2</v>
      </c>
      <c r="E44">
        <v>0</v>
      </c>
      <c r="F44">
        <v>-64</v>
      </c>
      <c r="G44">
        <v>-44</v>
      </c>
      <c r="I44" s="10">
        <f t="shared" si="9"/>
        <v>0</v>
      </c>
      <c r="L44" s="81" t="str">
        <f t="shared" si="1"/>
        <v/>
      </c>
      <c r="M44" s="81" t="str">
        <f t="shared" si="2"/>
        <v/>
      </c>
      <c r="N44" s="81" t="str">
        <f t="shared" si="3"/>
        <v/>
      </c>
    </row>
    <row r="45" spans="1:14" x14ac:dyDescent="0.3">
      <c r="A45">
        <v>19.399999999999999</v>
      </c>
      <c r="B45">
        <v>0</v>
      </c>
      <c r="D45">
        <v>2</v>
      </c>
      <c r="E45">
        <v>0</v>
      </c>
      <c r="F45">
        <v>-70</v>
      </c>
      <c r="G45">
        <v>-44</v>
      </c>
      <c r="J45">
        <f t="shared" ref="J45:J50" si="10">G45-$G$44</f>
        <v>0</v>
      </c>
      <c r="L45" s="81" t="str">
        <f t="shared" si="1"/>
        <v/>
      </c>
      <c r="M45" s="81" t="str">
        <f t="shared" si="2"/>
        <v/>
      </c>
      <c r="N45" s="81" t="str">
        <f t="shared" si="3"/>
        <v/>
      </c>
    </row>
    <row r="46" spans="1:14" x14ac:dyDescent="0.3">
      <c r="A46">
        <v>19.5</v>
      </c>
      <c r="B46">
        <v>1</v>
      </c>
      <c r="D46">
        <v>2</v>
      </c>
      <c r="E46">
        <v>0</v>
      </c>
      <c r="F46">
        <v>-70</v>
      </c>
      <c r="G46">
        <v>-44</v>
      </c>
      <c r="J46" s="10">
        <f t="shared" si="10"/>
        <v>0</v>
      </c>
      <c r="L46" s="81" t="str">
        <f t="shared" si="1"/>
        <v/>
      </c>
      <c r="M46" s="81" t="str">
        <f t="shared" si="2"/>
        <v/>
      </c>
      <c r="N46" s="81" t="str">
        <f t="shared" si="3"/>
        <v/>
      </c>
    </row>
    <row r="47" spans="1:14" x14ac:dyDescent="0.3">
      <c r="A47">
        <v>20</v>
      </c>
      <c r="B47">
        <v>4</v>
      </c>
      <c r="D47">
        <v>0</v>
      </c>
      <c r="E47">
        <v>0</v>
      </c>
      <c r="F47">
        <v>-70</v>
      </c>
      <c r="G47">
        <v>-44</v>
      </c>
      <c r="J47" s="10">
        <f t="shared" si="10"/>
        <v>0</v>
      </c>
      <c r="L47" s="81" t="str">
        <f t="shared" si="1"/>
        <v/>
      </c>
      <c r="M47" s="81" t="str">
        <f t="shared" si="2"/>
        <v/>
      </c>
      <c r="N47" s="81" t="str">
        <f t="shared" si="3"/>
        <v/>
      </c>
    </row>
    <row r="48" spans="1:14" x14ac:dyDescent="0.3">
      <c r="J48" s="10">
        <f t="shared" si="10"/>
        <v>44</v>
      </c>
      <c r="L48" s="81" t="str">
        <f t="shared" si="1"/>
        <v/>
      </c>
      <c r="M48" s="81" t="str">
        <f t="shared" si="2"/>
        <v/>
      </c>
      <c r="N48" s="81" t="str">
        <f t="shared" si="3"/>
        <v/>
      </c>
    </row>
    <row r="49" spans="9:14" x14ac:dyDescent="0.3">
      <c r="J49" s="10">
        <f t="shared" si="10"/>
        <v>44</v>
      </c>
      <c r="L49" s="81" t="str">
        <f t="shared" si="1"/>
        <v/>
      </c>
      <c r="M49" s="81" t="str">
        <f t="shared" si="2"/>
        <v/>
      </c>
      <c r="N49" s="81" t="str">
        <f t="shared" si="3"/>
        <v/>
      </c>
    </row>
    <row r="50" spans="9:14" x14ac:dyDescent="0.3">
      <c r="J50" s="10">
        <f t="shared" si="10"/>
        <v>44</v>
      </c>
      <c r="L50" s="81" t="str">
        <f t="shared" si="1"/>
        <v/>
      </c>
      <c r="M50" s="81" t="str">
        <f t="shared" si="2"/>
        <v/>
      </c>
      <c r="N50" s="81" t="str">
        <f t="shared" si="3"/>
        <v/>
      </c>
    </row>
    <row r="51" spans="9:14" x14ac:dyDescent="0.3">
      <c r="I51">
        <f t="shared" ref="I51:I56" si="11">G51-$G$50</f>
        <v>0</v>
      </c>
      <c r="L51" s="81" t="str">
        <f t="shared" si="1"/>
        <v/>
      </c>
      <c r="M51" s="81" t="str">
        <f t="shared" si="2"/>
        <v/>
      </c>
      <c r="N51" s="81" t="str">
        <f t="shared" si="3"/>
        <v/>
      </c>
    </row>
    <row r="52" spans="9:14" x14ac:dyDescent="0.3">
      <c r="I52" s="10">
        <f t="shared" si="11"/>
        <v>0</v>
      </c>
      <c r="L52" s="81" t="str">
        <f t="shared" si="1"/>
        <v/>
      </c>
      <c r="M52" s="81" t="str">
        <f t="shared" si="2"/>
        <v/>
      </c>
      <c r="N52" s="81" t="str">
        <f t="shared" si="3"/>
        <v/>
      </c>
    </row>
    <row r="53" spans="9:14" x14ac:dyDescent="0.3">
      <c r="I53" s="10">
        <f t="shared" si="11"/>
        <v>0</v>
      </c>
      <c r="L53" s="81" t="str">
        <f t="shared" si="1"/>
        <v/>
      </c>
      <c r="M53" s="81" t="str">
        <f t="shared" si="2"/>
        <v/>
      </c>
      <c r="N53" s="81" t="str">
        <f t="shared" si="3"/>
        <v/>
      </c>
    </row>
    <row r="54" spans="9:14" x14ac:dyDescent="0.3">
      <c r="I54" s="10">
        <f t="shared" si="11"/>
        <v>0</v>
      </c>
      <c r="L54" s="81" t="str">
        <f t="shared" si="1"/>
        <v/>
      </c>
      <c r="M54" s="81" t="str">
        <f t="shared" si="2"/>
        <v/>
      </c>
      <c r="N54" s="81" t="str">
        <f t="shared" si="3"/>
        <v/>
      </c>
    </row>
    <row r="55" spans="9:14" x14ac:dyDescent="0.3">
      <c r="I55" s="10">
        <f t="shared" si="11"/>
        <v>0</v>
      </c>
      <c r="L55" s="81" t="str">
        <f t="shared" si="1"/>
        <v/>
      </c>
      <c r="M55" s="81" t="str">
        <f t="shared" si="2"/>
        <v/>
      </c>
      <c r="N55" s="81" t="str">
        <f t="shared" si="3"/>
        <v/>
      </c>
    </row>
    <row r="56" spans="9:14" x14ac:dyDescent="0.3">
      <c r="I56" s="10">
        <f t="shared" si="11"/>
        <v>0</v>
      </c>
      <c r="L56" s="81" t="str">
        <f t="shared" si="1"/>
        <v/>
      </c>
      <c r="M56" s="81" t="str">
        <f t="shared" si="2"/>
        <v/>
      </c>
      <c r="N56" s="81" t="str">
        <f t="shared" si="3"/>
        <v/>
      </c>
    </row>
    <row r="57" spans="9:14" x14ac:dyDescent="0.3">
      <c r="J57">
        <f t="shared" ref="J57:J62" si="12">G57-$G$56</f>
        <v>0</v>
      </c>
      <c r="L57" s="81" t="str">
        <f t="shared" si="1"/>
        <v/>
      </c>
      <c r="M57" s="81" t="str">
        <f t="shared" si="2"/>
        <v/>
      </c>
      <c r="N57" s="81" t="str">
        <f t="shared" si="3"/>
        <v/>
      </c>
    </row>
    <row r="58" spans="9:14" x14ac:dyDescent="0.3">
      <c r="J58" s="10">
        <f t="shared" si="12"/>
        <v>0</v>
      </c>
      <c r="L58" s="81" t="str">
        <f t="shared" si="1"/>
        <v/>
      </c>
      <c r="M58" s="81" t="str">
        <f t="shared" si="2"/>
        <v/>
      </c>
      <c r="N58" s="81" t="str">
        <f t="shared" si="3"/>
        <v/>
      </c>
    </row>
    <row r="59" spans="9:14" x14ac:dyDescent="0.3">
      <c r="J59" s="10">
        <f t="shared" si="12"/>
        <v>0</v>
      </c>
      <c r="L59" s="81" t="str">
        <f t="shared" si="1"/>
        <v/>
      </c>
      <c r="M59" s="81" t="str">
        <f t="shared" si="2"/>
        <v/>
      </c>
      <c r="N59" s="81" t="str">
        <f t="shared" si="3"/>
        <v/>
      </c>
    </row>
    <row r="60" spans="9:14" x14ac:dyDescent="0.3">
      <c r="J60" s="10">
        <f t="shared" si="12"/>
        <v>0</v>
      </c>
      <c r="L60" s="81" t="str">
        <f t="shared" si="1"/>
        <v/>
      </c>
      <c r="M60" s="81" t="str">
        <f t="shared" si="2"/>
        <v/>
      </c>
      <c r="N60" s="81" t="str">
        <f t="shared" si="3"/>
        <v/>
      </c>
    </row>
    <row r="61" spans="9:14" x14ac:dyDescent="0.3">
      <c r="J61" s="10">
        <f t="shared" si="12"/>
        <v>0</v>
      </c>
      <c r="L61" s="81" t="str">
        <f t="shared" si="1"/>
        <v/>
      </c>
      <c r="M61" s="81" t="str">
        <f t="shared" si="2"/>
        <v/>
      </c>
      <c r="N61" s="81" t="str">
        <f t="shared" si="3"/>
        <v/>
      </c>
    </row>
    <row r="62" spans="9:14" x14ac:dyDescent="0.3">
      <c r="J62" s="10">
        <f t="shared" si="12"/>
        <v>0</v>
      </c>
      <c r="L62" s="81" t="str">
        <f t="shared" si="1"/>
        <v/>
      </c>
      <c r="M62" s="81" t="str">
        <f t="shared" si="2"/>
        <v/>
      </c>
      <c r="N62" s="81" t="str">
        <f t="shared" si="3"/>
        <v/>
      </c>
    </row>
    <row r="63" spans="9:14" x14ac:dyDescent="0.3">
      <c r="I63">
        <f>G63-$G$62</f>
        <v>0</v>
      </c>
      <c r="L63" s="81" t="str">
        <f t="shared" si="1"/>
        <v/>
      </c>
      <c r="M63" s="81" t="str">
        <f t="shared" si="2"/>
        <v/>
      </c>
      <c r="N63" s="81" t="str">
        <f t="shared" si="3"/>
        <v/>
      </c>
    </row>
    <row r="64" spans="9:14" x14ac:dyDescent="0.3">
      <c r="I64" s="10">
        <f t="shared" ref="I64:I68" si="13">G64-$G$62</f>
        <v>0</v>
      </c>
      <c r="L64" s="81" t="str">
        <f t="shared" si="1"/>
        <v/>
      </c>
      <c r="M64" s="81" t="str">
        <f t="shared" si="2"/>
        <v/>
      </c>
      <c r="N64" s="81" t="str">
        <f t="shared" si="3"/>
        <v/>
      </c>
    </row>
    <row r="65" spans="9:14" x14ac:dyDescent="0.3">
      <c r="I65" s="10">
        <f t="shared" si="13"/>
        <v>0</v>
      </c>
      <c r="L65" s="81" t="str">
        <f t="shared" si="1"/>
        <v/>
      </c>
      <c r="M65" s="81" t="str">
        <f t="shared" si="2"/>
        <v/>
      </c>
      <c r="N65" s="81" t="str">
        <f t="shared" si="3"/>
        <v/>
      </c>
    </row>
    <row r="66" spans="9:14" x14ac:dyDescent="0.3">
      <c r="I66" s="10">
        <f t="shared" si="13"/>
        <v>0</v>
      </c>
      <c r="L66" s="81" t="str">
        <f t="shared" si="1"/>
        <v/>
      </c>
      <c r="M66" s="81" t="str">
        <f t="shared" si="2"/>
        <v/>
      </c>
      <c r="N66" s="81" t="str">
        <f t="shared" si="3"/>
        <v/>
      </c>
    </row>
    <row r="67" spans="9:14" x14ac:dyDescent="0.3">
      <c r="I67" s="10">
        <f t="shared" si="13"/>
        <v>0</v>
      </c>
      <c r="L67" s="81" t="str">
        <f t="shared" si="1"/>
        <v/>
      </c>
      <c r="M67" s="81" t="str">
        <f t="shared" si="2"/>
        <v/>
      </c>
      <c r="N67" s="81" t="str">
        <f t="shared" si="3"/>
        <v/>
      </c>
    </row>
    <row r="68" spans="9:14" x14ac:dyDescent="0.3">
      <c r="I68" s="10">
        <f t="shared" si="13"/>
        <v>0</v>
      </c>
      <c r="L68" s="81" t="str">
        <f t="shared" ref="L68:L122" si="14">IF(AND(VALUE(B68) &lt; 4,VALUE(B68)&gt;=0,NOT(ISBLANK(C68))),C68,"")</f>
        <v/>
      </c>
      <c r="M68" s="81" t="str">
        <f t="shared" ref="M68:M122" si="15">IF(AND(VALUE(B68) &gt;=4,NOT(ISBLANK(C68))),C68,"")</f>
        <v/>
      </c>
      <c r="N68" s="81" t="str">
        <f t="shared" ref="N68:N122" si="16">IF(AND(VALUE(B68) &lt; 0,NOT(ISBLANK(C68))),C68,"")</f>
        <v/>
      </c>
    </row>
    <row r="69" spans="9:14" x14ac:dyDescent="0.3">
      <c r="J69">
        <f>G69-$G$68</f>
        <v>0</v>
      </c>
      <c r="L69" s="81" t="str">
        <f t="shared" si="14"/>
        <v/>
      </c>
      <c r="M69" s="81" t="str">
        <f t="shared" si="15"/>
        <v/>
      </c>
      <c r="N69" s="81" t="str">
        <f t="shared" si="16"/>
        <v/>
      </c>
    </row>
    <row r="70" spans="9:14" x14ac:dyDescent="0.3">
      <c r="J70" s="10">
        <f t="shared" ref="J70:J74" si="17">G70-$G$68</f>
        <v>0</v>
      </c>
      <c r="L70" s="81" t="str">
        <f t="shared" si="14"/>
        <v/>
      </c>
      <c r="M70" s="81" t="str">
        <f t="shared" si="15"/>
        <v/>
      </c>
      <c r="N70" s="81" t="str">
        <f t="shared" si="16"/>
        <v/>
      </c>
    </row>
    <row r="71" spans="9:14" x14ac:dyDescent="0.3">
      <c r="J71" s="10">
        <f t="shared" si="17"/>
        <v>0</v>
      </c>
      <c r="L71" s="81" t="str">
        <f t="shared" si="14"/>
        <v/>
      </c>
      <c r="M71" s="81" t="str">
        <f t="shared" si="15"/>
        <v/>
      </c>
      <c r="N71" s="81" t="str">
        <f t="shared" si="16"/>
        <v/>
      </c>
    </row>
    <row r="72" spans="9:14" x14ac:dyDescent="0.3">
      <c r="J72" s="10">
        <f t="shared" si="17"/>
        <v>0</v>
      </c>
      <c r="L72" s="81" t="str">
        <f t="shared" si="14"/>
        <v/>
      </c>
      <c r="M72" s="81" t="str">
        <f t="shared" si="15"/>
        <v/>
      </c>
      <c r="N72" s="81" t="str">
        <f t="shared" si="16"/>
        <v/>
      </c>
    </row>
    <row r="73" spans="9:14" x14ac:dyDescent="0.3">
      <c r="J73" s="10">
        <f t="shared" si="17"/>
        <v>0</v>
      </c>
      <c r="L73" s="81" t="str">
        <f t="shared" si="14"/>
        <v/>
      </c>
      <c r="M73" s="81" t="str">
        <f t="shared" si="15"/>
        <v/>
      </c>
      <c r="N73" s="81" t="str">
        <f t="shared" si="16"/>
        <v/>
      </c>
    </row>
    <row r="74" spans="9:14" x14ac:dyDescent="0.3">
      <c r="J74" s="10">
        <f t="shared" si="17"/>
        <v>0</v>
      </c>
      <c r="L74" s="81" t="str">
        <f t="shared" si="14"/>
        <v/>
      </c>
      <c r="M74" s="81" t="str">
        <f t="shared" si="15"/>
        <v/>
      </c>
      <c r="N74" s="81" t="str">
        <f t="shared" si="16"/>
        <v/>
      </c>
    </row>
    <row r="75" spans="9:14" x14ac:dyDescent="0.3">
      <c r="I75">
        <f t="shared" ref="I75:I80" si="18">G75-$G$74</f>
        <v>0</v>
      </c>
      <c r="L75" s="81" t="str">
        <f t="shared" si="14"/>
        <v/>
      </c>
      <c r="M75" s="81" t="str">
        <f t="shared" si="15"/>
        <v/>
      </c>
      <c r="N75" s="81" t="str">
        <f t="shared" si="16"/>
        <v/>
      </c>
    </row>
    <row r="76" spans="9:14" x14ac:dyDescent="0.3">
      <c r="I76" s="10">
        <f t="shared" si="18"/>
        <v>0</v>
      </c>
      <c r="L76" s="81" t="str">
        <f t="shared" si="14"/>
        <v/>
      </c>
      <c r="M76" s="81" t="str">
        <f t="shared" si="15"/>
        <v/>
      </c>
      <c r="N76" s="81" t="str">
        <f t="shared" si="16"/>
        <v/>
      </c>
    </row>
    <row r="77" spans="9:14" x14ac:dyDescent="0.3">
      <c r="I77" s="10">
        <f t="shared" si="18"/>
        <v>0</v>
      </c>
      <c r="L77" s="81" t="str">
        <f t="shared" si="14"/>
        <v/>
      </c>
      <c r="M77" s="81" t="str">
        <f t="shared" si="15"/>
        <v/>
      </c>
      <c r="N77" s="81" t="str">
        <f t="shared" si="16"/>
        <v/>
      </c>
    </row>
    <row r="78" spans="9:14" x14ac:dyDescent="0.3">
      <c r="I78" s="10">
        <f t="shared" si="18"/>
        <v>0</v>
      </c>
      <c r="L78" s="81" t="str">
        <f t="shared" si="14"/>
        <v/>
      </c>
      <c r="M78" s="81" t="str">
        <f t="shared" si="15"/>
        <v/>
      </c>
      <c r="N78" s="81" t="str">
        <f t="shared" si="16"/>
        <v/>
      </c>
    </row>
    <row r="79" spans="9:14" x14ac:dyDescent="0.3">
      <c r="I79" s="10">
        <f t="shared" si="18"/>
        <v>0</v>
      </c>
      <c r="L79" s="81" t="str">
        <f t="shared" si="14"/>
        <v/>
      </c>
      <c r="M79" s="81" t="str">
        <f t="shared" si="15"/>
        <v/>
      </c>
      <c r="N79" s="81" t="str">
        <f t="shared" si="16"/>
        <v/>
      </c>
    </row>
    <row r="80" spans="9:14" x14ac:dyDescent="0.3">
      <c r="I80" s="10">
        <f t="shared" si="18"/>
        <v>0</v>
      </c>
      <c r="L80" s="81" t="str">
        <f t="shared" si="14"/>
        <v/>
      </c>
      <c r="M80" s="81" t="str">
        <f t="shared" si="15"/>
        <v/>
      </c>
      <c r="N80" s="81" t="str">
        <f t="shared" si="16"/>
        <v/>
      </c>
    </row>
    <row r="81" spans="9:14" x14ac:dyDescent="0.3">
      <c r="J81">
        <f t="shared" ref="J81:J86" si="19">G81-$G$80</f>
        <v>0</v>
      </c>
      <c r="L81" s="81" t="str">
        <f t="shared" si="14"/>
        <v/>
      </c>
      <c r="M81" s="81" t="str">
        <f t="shared" si="15"/>
        <v/>
      </c>
      <c r="N81" s="81" t="str">
        <f t="shared" si="16"/>
        <v/>
      </c>
    </row>
    <row r="82" spans="9:14" x14ac:dyDescent="0.3">
      <c r="J82" s="10">
        <f t="shared" si="19"/>
        <v>0</v>
      </c>
      <c r="L82" s="81" t="str">
        <f t="shared" si="14"/>
        <v/>
      </c>
      <c r="M82" s="81" t="str">
        <f t="shared" si="15"/>
        <v/>
      </c>
      <c r="N82" s="81" t="str">
        <f t="shared" si="16"/>
        <v/>
      </c>
    </row>
    <row r="83" spans="9:14" x14ac:dyDescent="0.3">
      <c r="J83" s="10">
        <f t="shared" si="19"/>
        <v>0</v>
      </c>
      <c r="L83" s="81" t="str">
        <f t="shared" si="14"/>
        <v/>
      </c>
      <c r="M83" s="81" t="str">
        <f t="shared" si="15"/>
        <v/>
      </c>
      <c r="N83" s="81" t="str">
        <f t="shared" si="16"/>
        <v/>
      </c>
    </row>
    <row r="84" spans="9:14" x14ac:dyDescent="0.3">
      <c r="J84" s="10">
        <f t="shared" si="19"/>
        <v>0</v>
      </c>
      <c r="L84" s="81" t="str">
        <f t="shared" si="14"/>
        <v/>
      </c>
      <c r="M84" s="81" t="str">
        <f t="shared" si="15"/>
        <v/>
      </c>
      <c r="N84" s="81" t="str">
        <f t="shared" si="16"/>
        <v/>
      </c>
    </row>
    <row r="85" spans="9:14" x14ac:dyDescent="0.3">
      <c r="J85" s="10">
        <f t="shared" si="19"/>
        <v>0</v>
      </c>
      <c r="L85" s="81" t="str">
        <f t="shared" si="14"/>
        <v/>
      </c>
      <c r="M85" s="81" t="str">
        <f t="shared" si="15"/>
        <v/>
      </c>
      <c r="N85" s="81" t="str">
        <f t="shared" si="16"/>
        <v/>
      </c>
    </row>
    <row r="86" spans="9:14" x14ac:dyDescent="0.3">
      <c r="J86" s="10">
        <f t="shared" si="19"/>
        <v>0</v>
      </c>
      <c r="L86" s="81" t="str">
        <f t="shared" si="14"/>
        <v/>
      </c>
      <c r="M86" s="81" t="str">
        <f t="shared" si="15"/>
        <v/>
      </c>
      <c r="N86" s="81" t="str">
        <f t="shared" si="16"/>
        <v/>
      </c>
    </row>
    <row r="87" spans="9:14" x14ac:dyDescent="0.3">
      <c r="I87">
        <f t="shared" ref="I87:I92" si="20">G87-$G$86</f>
        <v>0</v>
      </c>
      <c r="L87" s="81" t="str">
        <f t="shared" si="14"/>
        <v/>
      </c>
      <c r="M87" s="81" t="str">
        <f t="shared" si="15"/>
        <v/>
      </c>
      <c r="N87" s="81" t="str">
        <f t="shared" si="16"/>
        <v/>
      </c>
    </row>
    <row r="88" spans="9:14" x14ac:dyDescent="0.3">
      <c r="I88" s="10">
        <f t="shared" si="20"/>
        <v>0</v>
      </c>
      <c r="L88" s="81" t="str">
        <f t="shared" si="14"/>
        <v/>
      </c>
      <c r="M88" s="81" t="str">
        <f t="shared" si="15"/>
        <v/>
      </c>
      <c r="N88" s="81" t="str">
        <f t="shared" si="16"/>
        <v/>
      </c>
    </row>
    <row r="89" spans="9:14" x14ac:dyDescent="0.3">
      <c r="I89" s="10">
        <f t="shared" si="20"/>
        <v>0</v>
      </c>
      <c r="L89" s="81" t="str">
        <f t="shared" si="14"/>
        <v/>
      </c>
      <c r="M89" s="81" t="str">
        <f t="shared" si="15"/>
        <v/>
      </c>
      <c r="N89" s="81" t="str">
        <f t="shared" si="16"/>
        <v/>
      </c>
    </row>
    <row r="90" spans="9:14" x14ac:dyDescent="0.3">
      <c r="I90" s="10">
        <f t="shared" si="20"/>
        <v>0</v>
      </c>
      <c r="L90" s="81" t="str">
        <f t="shared" si="14"/>
        <v/>
      </c>
      <c r="M90" s="81" t="str">
        <f t="shared" si="15"/>
        <v/>
      </c>
      <c r="N90" s="81" t="str">
        <f t="shared" si="16"/>
        <v/>
      </c>
    </row>
    <row r="91" spans="9:14" x14ac:dyDescent="0.3">
      <c r="I91" s="10">
        <f t="shared" si="20"/>
        <v>0</v>
      </c>
      <c r="L91" s="81" t="str">
        <f t="shared" si="14"/>
        <v/>
      </c>
      <c r="M91" s="81" t="str">
        <f t="shared" si="15"/>
        <v/>
      </c>
      <c r="N91" s="81" t="str">
        <f t="shared" si="16"/>
        <v/>
      </c>
    </row>
    <row r="92" spans="9:14" x14ac:dyDescent="0.3">
      <c r="I92" s="10">
        <f t="shared" si="20"/>
        <v>0</v>
      </c>
      <c r="L92" s="81" t="str">
        <f t="shared" si="14"/>
        <v/>
      </c>
      <c r="M92" s="81" t="str">
        <f t="shared" si="15"/>
        <v/>
      </c>
      <c r="N92" s="81" t="str">
        <f t="shared" si="16"/>
        <v/>
      </c>
    </row>
    <row r="93" spans="9:14" x14ac:dyDescent="0.3">
      <c r="J93">
        <f t="shared" ref="J93:J98" si="21">G93-$G$92</f>
        <v>0</v>
      </c>
      <c r="L93" s="81" t="str">
        <f t="shared" si="14"/>
        <v/>
      </c>
      <c r="M93" s="81" t="str">
        <f t="shared" si="15"/>
        <v/>
      </c>
      <c r="N93" s="81" t="str">
        <f t="shared" si="16"/>
        <v/>
      </c>
    </row>
    <row r="94" spans="9:14" x14ac:dyDescent="0.3">
      <c r="J94" s="10">
        <f t="shared" si="21"/>
        <v>0</v>
      </c>
      <c r="L94" s="81" t="str">
        <f t="shared" si="14"/>
        <v/>
      </c>
      <c r="M94" s="81" t="str">
        <f t="shared" si="15"/>
        <v/>
      </c>
      <c r="N94" s="81" t="str">
        <f t="shared" si="16"/>
        <v/>
      </c>
    </row>
    <row r="95" spans="9:14" x14ac:dyDescent="0.3">
      <c r="J95" s="10">
        <f t="shared" si="21"/>
        <v>0</v>
      </c>
      <c r="L95" s="81" t="str">
        <f t="shared" si="14"/>
        <v/>
      </c>
      <c r="M95" s="81" t="str">
        <f t="shared" si="15"/>
        <v/>
      </c>
      <c r="N95" s="81" t="str">
        <f t="shared" si="16"/>
        <v/>
      </c>
    </row>
    <row r="96" spans="9:14" x14ac:dyDescent="0.3">
      <c r="J96" s="10">
        <f t="shared" si="21"/>
        <v>0</v>
      </c>
      <c r="L96" s="81" t="str">
        <f t="shared" si="14"/>
        <v/>
      </c>
      <c r="M96" s="81" t="str">
        <f t="shared" si="15"/>
        <v/>
      </c>
      <c r="N96" s="81" t="str">
        <f t="shared" si="16"/>
        <v/>
      </c>
    </row>
    <row r="97" spans="9:14" x14ac:dyDescent="0.3">
      <c r="J97" s="10">
        <f t="shared" si="21"/>
        <v>0</v>
      </c>
      <c r="L97" s="81" t="str">
        <f t="shared" si="14"/>
        <v/>
      </c>
      <c r="M97" s="81" t="str">
        <f t="shared" si="15"/>
        <v/>
      </c>
      <c r="N97" s="81" t="str">
        <f t="shared" si="16"/>
        <v/>
      </c>
    </row>
    <row r="98" spans="9:14" x14ac:dyDescent="0.3">
      <c r="J98" s="10">
        <f t="shared" si="21"/>
        <v>0</v>
      </c>
      <c r="L98" s="81" t="str">
        <f t="shared" si="14"/>
        <v/>
      </c>
      <c r="M98" s="81" t="str">
        <f t="shared" si="15"/>
        <v/>
      </c>
      <c r="N98" s="81" t="str">
        <f t="shared" si="16"/>
        <v/>
      </c>
    </row>
    <row r="99" spans="9:14" x14ac:dyDescent="0.3">
      <c r="I99">
        <f t="shared" ref="I99:I104" si="22">G99-$G$98</f>
        <v>0</v>
      </c>
      <c r="L99" s="81" t="str">
        <f t="shared" si="14"/>
        <v/>
      </c>
      <c r="M99" s="81" t="str">
        <f t="shared" si="15"/>
        <v/>
      </c>
      <c r="N99" s="81" t="str">
        <f t="shared" si="16"/>
        <v/>
      </c>
    </row>
    <row r="100" spans="9:14" x14ac:dyDescent="0.3">
      <c r="I100" s="10">
        <f t="shared" si="22"/>
        <v>0</v>
      </c>
      <c r="L100" s="81" t="str">
        <f t="shared" si="14"/>
        <v/>
      </c>
      <c r="M100" s="81" t="str">
        <f t="shared" si="15"/>
        <v/>
      </c>
      <c r="N100" s="81" t="str">
        <f t="shared" si="16"/>
        <v/>
      </c>
    </row>
    <row r="101" spans="9:14" x14ac:dyDescent="0.3">
      <c r="I101" s="10">
        <f t="shared" si="22"/>
        <v>0</v>
      </c>
      <c r="L101" s="81" t="str">
        <f t="shared" si="14"/>
        <v/>
      </c>
      <c r="M101" s="81" t="str">
        <f t="shared" si="15"/>
        <v/>
      </c>
      <c r="N101" s="81" t="str">
        <f t="shared" si="16"/>
        <v/>
      </c>
    </row>
    <row r="102" spans="9:14" x14ac:dyDescent="0.3">
      <c r="I102" s="10">
        <f t="shared" si="22"/>
        <v>0</v>
      </c>
      <c r="L102" s="81" t="str">
        <f t="shared" si="14"/>
        <v/>
      </c>
      <c r="M102" s="81" t="str">
        <f t="shared" si="15"/>
        <v/>
      </c>
      <c r="N102" s="81" t="str">
        <f t="shared" si="16"/>
        <v/>
      </c>
    </row>
    <row r="103" spans="9:14" x14ac:dyDescent="0.3">
      <c r="I103" s="10">
        <f t="shared" si="22"/>
        <v>0</v>
      </c>
      <c r="L103" s="81" t="str">
        <f t="shared" si="14"/>
        <v/>
      </c>
      <c r="M103" s="81" t="str">
        <f t="shared" si="15"/>
        <v/>
      </c>
      <c r="N103" s="81" t="str">
        <f t="shared" si="16"/>
        <v/>
      </c>
    </row>
    <row r="104" spans="9:14" x14ac:dyDescent="0.3">
      <c r="I104" s="10">
        <f t="shared" si="22"/>
        <v>0</v>
      </c>
      <c r="L104" s="81" t="str">
        <f t="shared" si="14"/>
        <v/>
      </c>
      <c r="M104" s="81" t="str">
        <f t="shared" si="15"/>
        <v/>
      </c>
      <c r="N104" s="81" t="str">
        <f t="shared" si="16"/>
        <v/>
      </c>
    </row>
    <row r="105" spans="9:14" x14ac:dyDescent="0.3">
      <c r="J105">
        <f t="shared" ref="J105:J110" si="23">G105-$G$104</f>
        <v>0</v>
      </c>
      <c r="L105" s="81" t="str">
        <f t="shared" si="14"/>
        <v/>
      </c>
      <c r="M105" s="81" t="str">
        <f t="shared" si="15"/>
        <v/>
      </c>
      <c r="N105" s="81" t="str">
        <f t="shared" si="16"/>
        <v/>
      </c>
    </row>
    <row r="106" spans="9:14" x14ac:dyDescent="0.3">
      <c r="J106" s="10">
        <f t="shared" si="23"/>
        <v>0</v>
      </c>
      <c r="L106" s="81" t="str">
        <f t="shared" si="14"/>
        <v/>
      </c>
      <c r="M106" s="81" t="str">
        <f t="shared" si="15"/>
        <v/>
      </c>
      <c r="N106" s="81" t="str">
        <f t="shared" si="16"/>
        <v/>
      </c>
    </row>
    <row r="107" spans="9:14" x14ac:dyDescent="0.3">
      <c r="J107" s="10">
        <f t="shared" si="23"/>
        <v>0</v>
      </c>
      <c r="L107" s="81" t="str">
        <f t="shared" si="14"/>
        <v/>
      </c>
      <c r="M107" s="81" t="str">
        <f t="shared" si="15"/>
        <v/>
      </c>
      <c r="N107" s="81" t="str">
        <f t="shared" si="16"/>
        <v/>
      </c>
    </row>
    <row r="108" spans="9:14" x14ac:dyDescent="0.3">
      <c r="J108" s="10">
        <f t="shared" si="23"/>
        <v>0</v>
      </c>
      <c r="L108" s="81" t="str">
        <f t="shared" si="14"/>
        <v/>
      </c>
      <c r="M108" s="81" t="str">
        <f t="shared" si="15"/>
        <v/>
      </c>
      <c r="N108" s="81" t="str">
        <f t="shared" si="16"/>
        <v/>
      </c>
    </row>
    <row r="109" spans="9:14" x14ac:dyDescent="0.3">
      <c r="J109" s="10">
        <f t="shared" si="23"/>
        <v>0</v>
      </c>
      <c r="L109" s="81" t="str">
        <f t="shared" si="14"/>
        <v/>
      </c>
      <c r="M109" s="81" t="str">
        <f t="shared" si="15"/>
        <v/>
      </c>
      <c r="N109" s="81" t="str">
        <f t="shared" si="16"/>
        <v/>
      </c>
    </row>
    <row r="110" spans="9:14" x14ac:dyDescent="0.3">
      <c r="J110" s="10">
        <f t="shared" si="23"/>
        <v>0</v>
      </c>
      <c r="L110" s="81" t="str">
        <f t="shared" si="14"/>
        <v/>
      </c>
      <c r="M110" s="81" t="str">
        <f t="shared" si="15"/>
        <v/>
      </c>
      <c r="N110" s="81" t="str">
        <f t="shared" si="16"/>
        <v/>
      </c>
    </row>
    <row r="111" spans="9:14" x14ac:dyDescent="0.3">
      <c r="I111">
        <f t="shared" ref="I111:I116" si="24">G111-$G$110</f>
        <v>0</v>
      </c>
      <c r="L111" s="81" t="str">
        <f t="shared" si="14"/>
        <v/>
      </c>
      <c r="M111" s="81" t="str">
        <f t="shared" si="15"/>
        <v/>
      </c>
      <c r="N111" s="81" t="str">
        <f t="shared" si="16"/>
        <v/>
      </c>
    </row>
    <row r="112" spans="9:14" x14ac:dyDescent="0.3">
      <c r="I112" s="10">
        <f t="shared" si="24"/>
        <v>0</v>
      </c>
      <c r="L112" s="81" t="str">
        <f t="shared" si="14"/>
        <v/>
      </c>
      <c r="M112" s="81" t="str">
        <f t="shared" si="15"/>
        <v/>
      </c>
      <c r="N112" s="81" t="str">
        <f t="shared" si="16"/>
        <v/>
      </c>
    </row>
    <row r="113" spans="9:14" x14ac:dyDescent="0.3">
      <c r="I113" s="10">
        <f t="shared" si="24"/>
        <v>0</v>
      </c>
      <c r="L113" s="81" t="str">
        <f t="shared" si="14"/>
        <v/>
      </c>
      <c r="M113" s="81" t="str">
        <f t="shared" si="15"/>
        <v/>
      </c>
      <c r="N113" s="81" t="str">
        <f t="shared" si="16"/>
        <v/>
      </c>
    </row>
    <row r="114" spans="9:14" x14ac:dyDescent="0.3">
      <c r="I114" s="10">
        <f t="shared" si="24"/>
        <v>0</v>
      </c>
      <c r="L114" s="81" t="str">
        <f t="shared" si="14"/>
        <v/>
      </c>
      <c r="M114" s="81" t="str">
        <f t="shared" si="15"/>
        <v/>
      </c>
      <c r="N114" s="81" t="str">
        <f t="shared" si="16"/>
        <v/>
      </c>
    </row>
    <row r="115" spans="9:14" x14ac:dyDescent="0.3">
      <c r="I115" s="10">
        <f t="shared" si="24"/>
        <v>0</v>
      </c>
      <c r="L115" s="81" t="str">
        <f t="shared" si="14"/>
        <v/>
      </c>
      <c r="M115" s="81" t="str">
        <f t="shared" si="15"/>
        <v/>
      </c>
      <c r="N115" s="81" t="str">
        <f t="shared" si="16"/>
        <v/>
      </c>
    </row>
    <row r="116" spans="9:14" x14ac:dyDescent="0.3">
      <c r="I116" s="10">
        <f t="shared" si="24"/>
        <v>0</v>
      </c>
      <c r="L116" s="81" t="str">
        <f t="shared" si="14"/>
        <v/>
      </c>
      <c r="M116" s="81" t="str">
        <f t="shared" si="15"/>
        <v/>
      </c>
      <c r="N116" s="81" t="str">
        <f t="shared" si="16"/>
        <v/>
      </c>
    </row>
    <row r="117" spans="9:14" x14ac:dyDescent="0.3">
      <c r="J117">
        <f t="shared" ref="J117:J122" si="25">G117-$G$116</f>
        <v>0</v>
      </c>
      <c r="L117" s="81" t="str">
        <f t="shared" si="14"/>
        <v/>
      </c>
      <c r="M117" s="81" t="str">
        <f t="shared" si="15"/>
        <v/>
      </c>
      <c r="N117" s="81" t="str">
        <f t="shared" si="16"/>
        <v/>
      </c>
    </row>
    <row r="118" spans="9:14" x14ac:dyDescent="0.3">
      <c r="J118" s="10">
        <f t="shared" si="25"/>
        <v>0</v>
      </c>
      <c r="L118" s="81" t="str">
        <f t="shared" si="14"/>
        <v/>
      </c>
      <c r="M118" s="81" t="str">
        <f t="shared" si="15"/>
        <v/>
      </c>
      <c r="N118" s="81" t="str">
        <f t="shared" si="16"/>
        <v/>
      </c>
    </row>
    <row r="119" spans="9:14" x14ac:dyDescent="0.3">
      <c r="J119" s="10">
        <f t="shared" si="25"/>
        <v>0</v>
      </c>
      <c r="L119" s="81" t="str">
        <f t="shared" si="14"/>
        <v/>
      </c>
      <c r="M119" s="81" t="str">
        <f t="shared" si="15"/>
        <v/>
      </c>
      <c r="N119" s="81" t="str">
        <f t="shared" si="16"/>
        <v/>
      </c>
    </row>
    <row r="120" spans="9:14" x14ac:dyDescent="0.3">
      <c r="J120" s="10">
        <f t="shared" si="25"/>
        <v>0</v>
      </c>
      <c r="L120" s="81" t="str">
        <f t="shared" si="14"/>
        <v/>
      </c>
      <c r="M120" s="81" t="str">
        <f t="shared" si="15"/>
        <v/>
      </c>
      <c r="N120" s="81" t="str">
        <f t="shared" si="16"/>
        <v/>
      </c>
    </row>
    <row r="121" spans="9:14" x14ac:dyDescent="0.3">
      <c r="J121" s="10">
        <f t="shared" si="25"/>
        <v>0</v>
      </c>
      <c r="L121" s="81" t="str">
        <f t="shared" si="14"/>
        <v/>
      </c>
      <c r="M121" s="81" t="str">
        <f t="shared" si="15"/>
        <v/>
      </c>
      <c r="N121" s="81" t="str">
        <f t="shared" si="16"/>
        <v/>
      </c>
    </row>
    <row r="122" spans="9:14" x14ac:dyDescent="0.3">
      <c r="J122" s="10">
        <f t="shared" si="25"/>
        <v>0</v>
      </c>
      <c r="L122" s="81" t="str">
        <f t="shared" si="14"/>
        <v/>
      </c>
      <c r="M122" s="81" t="str">
        <f t="shared" si="15"/>
        <v/>
      </c>
      <c r="N122" s="81" t="str">
        <f t="shared" si="16"/>
        <v/>
      </c>
    </row>
    <row r="123" spans="9:14" x14ac:dyDescent="0.3">
      <c r="L123" s="81">
        <f>AVERAGE(L3:L122)</f>
        <v>8.4876543648230537E-5</v>
      </c>
      <c r="M123" s="81">
        <f t="shared" ref="M123:N123" si="26">AVERAGE(M3:M122)</f>
        <v>1.7361110803904012E-4</v>
      </c>
      <c r="N123" s="81" t="e">
        <f t="shared" si="26"/>
        <v>#DIV/0!</v>
      </c>
    </row>
    <row r="132" spans="10:10" x14ac:dyDescent="0.3">
      <c r="J132" t="s">
        <v>21</v>
      </c>
    </row>
  </sheetData>
  <pageMargins left="0.25" right="0.25" top="0.25" bottom="0.25" header="0.3" footer="0.3"/>
  <pageSetup paperSize="9" scale="7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Data</vt:lpstr>
      <vt:lpstr>Dashboard</vt:lpstr>
      <vt:lpstr>AuditTrail</vt:lpstr>
      <vt:lpstr>Quiz</vt:lpstr>
      <vt:lpstr>TradeBook</vt:lpstr>
      <vt:lpstr>Report</vt:lpstr>
      <vt:lpstr>Data!chennai_super_kings_vs_mumbai_indians_elimination_final?innings_2_filter_full_1</vt:lpstr>
    </vt:vector>
  </TitlesOfParts>
  <Company>Hertshten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Umang Jain</dc:creator>
  <cp:lastModifiedBy>Aditya Goyal</cp:lastModifiedBy>
  <cp:lastPrinted>2018-08-22T18:08:39Z</cp:lastPrinted>
  <dcterms:created xsi:type="dcterms:W3CDTF">2018-06-15T12:37:34Z</dcterms:created>
  <dcterms:modified xsi:type="dcterms:W3CDTF">2018-08-22T18:12:11Z</dcterms:modified>
</cp:coreProperties>
</file>